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_DAN" sheetId="1" state="visible" r:id="rId1"/>
    <sheet name="01_DASHBOARD" sheetId="2" state="visible" r:id="rId2"/>
    <sheet name="02_JOB_AGENCY" sheetId="3" state="visible" r:id="rId3"/>
    <sheet name="03_CONG_NO" sheetId="4" state="visible" r:id="rId4"/>
    <sheet name="04_NO_CA_NHAN" sheetId="5" state="visible" r:id="rId5"/>
    <sheet name="05_TIN_DUNG" sheetId="6" state="visible" r:id="rId6"/>
    <sheet name="JOB_LG" sheetId="7" state="visible" r:id="rId7"/>
    <sheet name="JOB_BLUESCOPE" sheetId="8" state="visible" r:id="rId8"/>
    <sheet name="_TEMPLATE_JOB" sheetId="9" state="visible" r:id="rId9"/>
    <sheet name="99_CAU_HINH" sheetId="10" state="visible" r:id="rId10"/>
  </sheets>
  <definedNames>
    <definedName name="_xlnm._FilterDatabase" localSheetId="2" hidden="1">'02_JOB_AGENCY'!$A$4:$L$29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color rgb="0064748B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0F172A"/>
      <sz val="12"/>
    </font>
    <font>
      <name val="Arial"/>
      <color rgb="004F46E5"/>
      <sz val="10"/>
      <u val="single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1E293B"/>
      </patternFill>
    </fill>
    <fill>
      <patternFill patternType="solid">
        <fgColor rgb="00E0F2FE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BBF7D0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6" fillId="5" borderId="0" pivotButton="0" quotePrefix="0" xfId="0"/>
    <xf numFmtId="0" fontId="5" fillId="2" borderId="1" applyAlignment="1" pivotButton="0" quotePrefix="0" xfId="0">
      <alignment horizontal="center" vertical="center" wrapText="1"/>
    </xf>
    <xf numFmtId="3" fontId="4" fillId="6" borderId="1" pivotButton="0" quotePrefix="0" xfId="0"/>
    <xf numFmtId="3" fontId="7" fillId="7" borderId="1" pivotButton="0" quotePrefix="0" xfId="0"/>
    <xf numFmtId="3" fontId="7" fillId="8" borderId="1" pivotButton="0" quotePrefix="0" xfId="0"/>
    <xf numFmtId="3" fontId="4" fillId="9" borderId="1" pivotButton="0" quotePrefix="0" xfId="0"/>
    <xf numFmtId="0" fontId="0" fillId="0" borderId="1" pivotButton="0" quotePrefix="0" xfId="0"/>
    <xf numFmtId="0" fontId="4" fillId="6" borderId="1" pivotButton="0" quotePrefix="0" xfId="0"/>
    <xf numFmtId="0" fontId="8" fillId="4" borderId="0" pivotButton="0" quotePrefix="0" xfId="0"/>
    <xf numFmtId="3" fontId="4" fillId="7" borderId="1" pivotButton="0" quotePrefix="0" xfId="0"/>
    <xf numFmtId="0" fontId="2" fillId="10" borderId="0" pivotButton="0" quotePrefix="0" xfId="0"/>
    <xf numFmtId="0" fontId="4" fillId="3" borderId="1" pivotButton="0" quotePrefix="0" xfId="0"/>
    <xf numFmtId="3" fontId="4" fillId="3" borderId="1" pivotButton="0" quotePrefix="0" xfId="0"/>
    <xf numFmtId="0" fontId="0" fillId="2" borderId="0" pivotButton="0" quotePrefix="0" xfId="0"/>
    <xf numFmtId="0" fontId="5" fillId="2" borderId="0" pivotButton="0" quotePrefix="0" xfId="0"/>
    <xf numFmtId="3" fontId="5" fillId="2" borderId="0" pivotButton="0" quotePrefix="0" xfId="0"/>
    <xf numFmtId="0" fontId="0" fillId="0" borderId="4" pivotButton="0" quotePrefix="0" xfId="0"/>
    <xf numFmtId="0" fontId="0" fillId="4" borderId="0" pivotButton="0" quotePrefix="0" xfId="0"/>
    <xf numFmtId="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ygn6O9Ej1-AmaeCVDOp6UD3pnbiyhG0c-ZUJ4MgNzdo/edit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docs.google.com/spreadsheets/d/1ygn6O9Ej1-AmaeCVDOp6UD3pnbiyhG0c-ZUJ4MgNzdo/edi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28" customHeight="1">
      <c r="A1" s="1" t="inlineStr">
        <is>
          <t>MONEY 2026 — Hướng dẫn hệ thống</t>
        </is>
      </c>
    </row>
    <row r="2">
      <c r="B2" s="2" t="inlineStr"/>
    </row>
    <row r="3">
      <c r="B3" s="3" t="inlineStr">
        <is>
          <t>MỤC TIÊU</t>
        </is>
      </c>
    </row>
    <row r="4">
      <c r="B4" s="4" t="inlineStr">
        <is>
          <t>• 1 Dashboard chính nhìn toàn bộ tiền / nợ / công nợ / P&amp;L theo job</t>
        </is>
      </c>
    </row>
    <row r="5">
      <c r="B5" s="4" t="inlineStr">
        <is>
          <t>• Job Agency: danh sách mọi job (Agency + Job), mỗi job 1 sheet riêng kiểu LG</t>
        </is>
      </c>
    </row>
    <row r="6">
      <c r="B6" s="4" t="inlineStr">
        <is>
          <t>• Bluescope Booking giữ FILE RIÊNG, Dashboard chỉ kéo TỔNG CÔNG NỢ / ngân sách</t>
        </is>
      </c>
    </row>
    <row r="7">
      <c r="B7" s="4" t="inlineStr">
        <is>
          <t>• Thêm job mới = nhân bản sheet _TEMPLATE_JOB → đổi tên JOB_XXX → gắn vào 02_JOB_AGENCY</t>
        </is>
      </c>
    </row>
    <row r="8">
      <c r="B8" s="2" t="inlineStr"/>
    </row>
    <row r="9">
      <c r="B9" s="3" t="inlineStr">
        <is>
          <t>CẤU TRÚC FILE</t>
        </is>
      </c>
    </row>
    <row r="10">
      <c r="B10" s="4" t="inlineStr">
        <is>
          <t>• 01_DASHBOARD      — Dashboard chính (KPI + tổng công nợ + tổng job)</t>
        </is>
      </c>
    </row>
    <row r="11">
      <c r="B11" s="4" t="inlineStr">
        <is>
          <t>• 02_JOB_AGENCY     — Sổ cái job/agency (registry + link sheet + link ngoài)</t>
        </is>
      </c>
    </row>
    <row r="12">
      <c r="B12" s="4" t="inlineStr">
        <is>
          <t>• 03_CONG_NO        — Công nợ khách hàng (tổng hợp, bao gồm Bluescope)</t>
        </is>
      </c>
    </row>
    <row r="13">
      <c r="B13" s="4" t="inlineStr">
        <is>
          <t>• 04_NO_CA_NHAN     — Nợ cá nhân (MOM, Trí) + lịch trả</t>
        </is>
      </c>
    </row>
    <row r="14">
      <c r="B14" s="4" t="inlineStr">
        <is>
          <t>• 05_TIN_DUNG       — Dư nợ thẻ tín dụng theo tháng</t>
        </is>
      </c>
    </row>
    <row r="15">
      <c r="B15" s="4" t="inlineStr">
        <is>
          <t>• _TEMPLATE_JOB     — Mẫu chi phí job (copy để tạo job mới như LG)</t>
        </is>
      </c>
    </row>
    <row r="16">
      <c r="B16" s="4" t="inlineStr">
        <is>
          <t>• JOB_LG            — Ví dụ job LG (đã seed)</t>
        </is>
      </c>
    </row>
    <row r="17">
      <c r="B17" s="4" t="inlineStr">
        <is>
          <t>• JOB_BLUESCOPE     — Tóm tắt job Bluescope (link file ngoài)</t>
        </is>
      </c>
    </row>
    <row r="18">
      <c r="B18" s="4" t="inlineStr">
        <is>
          <t>• 99_CAU_HINH       — Link sheet ngoài + % phí + % A Tân</t>
        </is>
      </c>
    </row>
    <row r="19">
      <c r="B19" s="2" t="inlineStr"/>
    </row>
    <row r="20">
      <c r="B20" s="3" t="inlineStr">
        <is>
          <t>LINK BLUESCOPE (FILE RIÊNG — KHÔNG GỘP VÀO MONEY)</t>
        </is>
      </c>
    </row>
    <row r="21">
      <c r="B21" s="4" t="inlineStr">
        <is>
          <t>• URL: https://docs.google.com/spreadsheets/d/1ygn6O9Ej1-AmaeCVDOp6UD3pnbiyhG0c-ZUJ4MgNzdo/edit</t>
        </is>
      </c>
    </row>
    <row r="22">
      <c r="B22" s="4" t="inlineStr">
        <is>
          <t>• ID:  1ygn6O9Ej1-AmaeCVDOp6UD3pnbiyhG0c-ZUJ4MgNzdo</t>
        </is>
      </c>
    </row>
    <row r="23">
      <c r="B23" s="4" t="inlineStr">
        <is>
          <t>• Sheet gợi ý: BLUESCOPE_2025 (Rate card + booking event) | Ratecard video | Sheet5 content list</t>
        </is>
      </c>
    </row>
    <row r="24">
      <c r="B24" s="4" t="inlineStr">
        <is>
          <t>• Trên Google Sheets, tại JOB_BLUESCOPE / 03_CONG_NO dùng IMPORTRANGE sau khi Allow access:</t>
        </is>
      </c>
    </row>
    <row r="25">
      <c r="B25" s="4" t="inlineStr">
        <is>
          <t xml:space="preserve">  =IMPORTRANGE("https://docs.google.com/spreadsheets/d/1ygn6O9Ej1-AmaeCVDOp6UD3pnbiyhG0c-ZUJ4MgNzdo/edit";"BLUESCOPE_2025!L2")   ← Ngân sách</t>
        </is>
      </c>
    </row>
    <row r="26">
      <c r="B26" s="4" t="inlineStr">
        <is>
          <t xml:space="preserve">  =IMPORTRANGE("https://docs.google.com/spreadsheets/d/1ygn6O9Ej1-AmaeCVDOp6UD3pnbiyhG0c-ZUJ4MgNzdo/edit";"BLUESCOPE_2025!N2")   ← Đã xài</t>
        </is>
      </c>
    </row>
    <row r="27">
      <c r="B27" s="4" t="inlineStr">
        <is>
          <t xml:space="preserve">  =IMPORTRANGE("https://docs.google.com/spreadsheets/d/1ygn6O9Ej1-AmaeCVDOp6UD3pnbiyhG0c-ZUJ4MgNzdo/edit";"BLUESCOPE_2025!O2")   ← Còn lại</t>
        </is>
      </c>
    </row>
    <row r="28">
      <c r="B28" s="4" t="inlineStr">
        <is>
          <t xml:space="preserve">  =SUM(IMPORTRANGE("https://docs.google.com/spreadsheets/d/1ygn6O9Ej1-AmaeCVDOp6UD3pnbiyhG0c-ZUJ4MgNzdo/edit";"BLUESCOPE_2025!N9:N100"))  ← Tổng chi event</t>
        </is>
      </c>
    </row>
    <row r="29">
      <c r="B29" s="2" t="inlineStr"/>
    </row>
    <row r="30">
      <c r="B30" s="3" t="inlineStr">
        <is>
          <t>CÁCH THÊM JOB MỚI (KIỂU LG)</t>
        </is>
      </c>
    </row>
    <row r="31">
      <c r="B31" s="4" t="inlineStr">
        <is>
          <t>1. Mở sheet _TEMPLATE_JOB → chuột phải tab → Duplicate</t>
        </is>
      </c>
    </row>
    <row r="32">
      <c r="B32" s="4" t="inlineStr">
        <is>
          <t>2. Đổi tên tab thành JOB_&lt;TEN&gt;  (vd: JOB_SUNGROUP, JOB_PBCM) — không dấu, không khoảng</t>
        </is>
      </c>
    </row>
    <row r="33">
      <c r="B33" s="4" t="inlineStr">
        <is>
          <t>3. Điền khối A. HỢP ĐỒNG (vàng) + B. CHI PHÍ (vàng)</t>
        </is>
      </c>
    </row>
    <row r="34">
      <c r="B34" s="4" t="inlineStr">
        <is>
          <t>4. Vào 02_JOB_AGENCY thêm 1 dòng: Agency | Tên job | Tên sheet | Link (nếu có)</t>
        </is>
      </c>
    </row>
    <row r="35">
      <c r="B35" s="4" t="inlineStr">
        <is>
          <t>5. Các cột Tổng HĐ / Chi phí / LN / Còn lại sẽ tự lấy từ sheet job (công thức sẵn)</t>
        </is>
      </c>
    </row>
    <row r="36">
      <c r="B36" s="4" t="inlineStr">
        <is>
          <t>6. Dashboard tự cộng dòng mới nếu bạn mở rộng vùng SUM (xem ghi chú trên Dashboard)</t>
        </is>
      </c>
    </row>
    <row r="37">
      <c r="B37" s="2" t="inlineStr"/>
    </row>
    <row r="38">
      <c r="B38" s="3" t="inlineStr">
        <is>
          <t>MÀU Ô</t>
        </is>
      </c>
    </row>
    <row r="39">
      <c r="B39" s="4" t="inlineStr">
        <is>
          <t>• Vàng nhạt  = nhập tay</t>
        </is>
      </c>
    </row>
    <row r="40">
      <c r="B40" s="4" t="inlineStr">
        <is>
          <t>• Xanh dương nhạt = công thức tự tính — không sửa</t>
        </is>
      </c>
    </row>
    <row r="41">
      <c r="B41" s="4" t="inlineStr">
        <is>
          <t>• Tím nhạt = link / sheet ngoài</t>
        </is>
      </c>
    </row>
    <row r="42">
      <c r="B42" s="2" t="inlineStr"/>
    </row>
    <row r="43">
      <c r="B43" s="3" t="inlineStr">
        <is>
          <t>UPLOAD LÊN GOOGLE SHEETS</t>
        </is>
      </c>
    </row>
    <row r="44">
      <c r="B44" s="4" t="inlineStr">
        <is>
          <t>1. Upload file MONEY_2026_System.xlsx lên Drive (DOC / MONEY 2026)</t>
        </is>
      </c>
    </row>
    <row r="45">
      <c r="B45" s="4" t="inlineStr">
        <is>
          <t>2. Mở → File → Save as Google Sheets (hoặc Open with Google Sheets)</t>
        </is>
      </c>
    </row>
    <row r="46">
      <c r="B46" s="4" t="inlineStr">
        <is>
          <t>3. Có thể dán nội dung vào file hiện tại: https://docs.google.com/spreadsheets/d/12dpkDrLw1Cban2KNyNiHJ6vfqun_Las8Qa_ZI1cA3Js/edit</t>
        </is>
      </c>
    </row>
    <row r="47">
      <c r="B47" s="4" t="inlineStr">
        <is>
          <t>4. Cho phép IMPORTRANGE khi sheet hỏi Allow access (1 lần)</t>
        </is>
      </c>
    </row>
    <row r="48">
      <c r="B48" s="4" t="inlineStr">
        <is>
          <t>5. Bluescope vẫn mở bằng link riêng — không copy booking vào Money</t>
        </is>
      </c>
    </row>
    <row r="49">
      <c r="B49" s="2" t="inlineStr"/>
    </row>
    <row r="50">
      <c r="B50" s="3" t="inlineStr">
        <is>
          <t>QUY ƯỚC TÍNH (chỉnh ở 99_CAU_HINH)</t>
        </is>
      </c>
    </row>
    <row r="51">
      <c r="B51" s="4" t="inlineStr">
        <is>
          <t>• Phí xuất HĐ mặc định 4% trên Tổng HĐ</t>
        </is>
      </c>
    </row>
    <row r="52">
      <c r="B52" s="4" t="inlineStr">
        <is>
          <t>• A Tân mặc định 20% trên Lợi nhuận gộp (HĐ − chi phí)</t>
        </is>
      </c>
    </row>
    <row r="53">
      <c r="B53" s="4" t="inlineStr">
        <is>
          <t>• Còn lại công nợ = Tổng HĐ − Đã thu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8" customHeight="1">
      <c r="A1" s="1" t="inlineStr">
        <is>
          <t>💰 MONEY 2026 — DASHBOARD CHÍNH</t>
        </is>
      </c>
    </row>
    <row r="2">
      <c r="A2" s="5" t="inlineStr">
        <is>
          <t>Bluescope booking (file riêng): https://docs.google.com/spreadsheets/d/1ygn6O9Ej1-AmaeCVDOp6UD3pnbiyhG0c-ZUJ4MgNzdo/edit  |  Job Agency &amp; công nợ tự tổng hợp từ các sheet JOB_*</t>
        </is>
      </c>
    </row>
    <row r="4">
      <c r="B4" s="6" t="inlineStr">
        <is>
          <t>A. TỔNG QUAN TÀI CHÍNH</t>
        </is>
      </c>
    </row>
    <row r="5">
      <c r="B5" s="7" t="inlineStr">
        <is>
          <t>Khoản mục</t>
        </is>
      </c>
      <c r="C5" s="7" t="inlineStr">
        <is>
          <t>Số tiền (đ)</t>
        </is>
      </c>
      <c r="D5" s="7" t="inlineStr">
        <is>
          <t>Ghi chú</t>
        </is>
      </c>
    </row>
    <row r="6">
      <c r="B6" s="3" t="inlineStr">
        <is>
          <t>💵 Tiền hiện có</t>
        </is>
      </c>
      <c r="C6" s="8">
        <f>'99_CAU_HINH'!C6</f>
        <v/>
      </c>
      <c r="D6" s="2" t="inlineStr">
        <is>
          <t>Sửa ở 99_CAU_HINH</t>
        </is>
      </c>
    </row>
    <row r="7">
      <c r="B7" s="3" t="inlineStr">
        <is>
          <t>🏦 Nợ MOM còn lại</t>
        </is>
      </c>
      <c r="C7" s="8">
        <f>'04_NO_CA_NHAN'!J2</f>
        <v/>
      </c>
      <c r="D7" s="2" t="inlineStr">
        <is>
          <t>Từ lịch trả MOM</t>
        </is>
      </c>
    </row>
    <row r="8">
      <c r="B8" s="3" t="inlineStr">
        <is>
          <t>👤 Nợ a Trí còn lại</t>
        </is>
      </c>
      <c r="C8" s="8">
        <f>'04_NO_CA_NHAN'!J3</f>
        <v/>
      </c>
      <c r="D8" s="2" t="inlineStr">
        <is>
          <t>Từ log trả Trí</t>
        </is>
      </c>
    </row>
    <row r="9">
      <c r="B9" s="3" t="inlineStr">
        <is>
          <t>💳 Tín dụng đang dùng</t>
        </is>
      </c>
      <c r="C9" s="8">
        <f>'05_TIN_DUNG'!S1</f>
        <v/>
      </c>
      <c r="D9" s="2" t="inlineStr">
        <is>
          <t>Tổng dư thẻ</t>
        </is>
      </c>
    </row>
    <row r="10">
      <c r="B10" s="3" t="inlineStr">
        <is>
          <t>📊 Tổng nợ phải trả</t>
        </is>
      </c>
      <c r="C10" s="8">
        <f>C7+C8+C9</f>
        <v/>
      </c>
      <c r="D10" s="2" t="inlineStr">
        <is>
          <t>MOM + Trí + Thẻ</t>
        </is>
      </c>
    </row>
    <row r="11">
      <c r="B11" s="3" t="inlineStr">
        <is>
          <t>📈 Thực có (Tiền − Nợ)</t>
        </is>
      </c>
      <c r="C11" s="9">
        <f>C6-C10</f>
        <v/>
      </c>
      <c r="D11" s="2" t="inlineStr">
        <is>
          <t>Âm = đang âm vốn</t>
        </is>
      </c>
    </row>
    <row r="13">
      <c r="B13" s="6" t="inlineStr">
        <is>
          <t>B. CÔNG NỢ KHÁCH HÀNG (từ 03_CONG_NO ← Job Agency ← job sheets + Bluescope)</t>
        </is>
      </c>
    </row>
    <row r="14">
      <c r="B14" t="inlineStr">
        <is>
          <t>Tổng giá trị HĐ / booking</t>
        </is>
      </c>
      <c r="C14" s="8">
        <f>'03_CONG_NO'!D38</f>
        <v/>
      </c>
    </row>
    <row r="15">
      <c r="B15" t="inlineStr">
        <is>
          <t>Đã thu</t>
        </is>
      </c>
      <c r="C15" s="8">
        <f>'03_CONG_NO'!E38</f>
        <v/>
      </c>
    </row>
    <row r="16">
      <c r="B16" t="inlineStr">
        <is>
          <t>🔴 TỔNG CÒN PHẢI THU</t>
        </is>
      </c>
      <c r="C16" s="10">
        <f>'03_CONG_NO'!F38</f>
        <v/>
      </c>
      <c r="D16" s="2" t="inlineStr">
        <is>
          <t>← Đây là tổng công nợ liên kết Dashboard</t>
        </is>
      </c>
    </row>
    <row r="18">
      <c r="B18" s="6" t="inlineStr">
        <is>
          <t>C. TỔNG P&amp;L THEO JOB AGENCY</t>
        </is>
      </c>
    </row>
    <row r="19">
      <c r="B19" t="inlineStr">
        <is>
          <t>Tổng chi phí jobs</t>
        </is>
      </c>
      <c r="C19" s="8">
        <f>'02_JOB_AGENCY'!H31</f>
        <v/>
      </c>
    </row>
    <row r="20">
      <c r="B20" t="inlineStr">
        <is>
          <t>Tổng lợi nhuận gộp</t>
        </is>
      </c>
      <c r="C20" s="11">
        <f>'02_JOB_AGENCY'!I31</f>
        <v/>
      </c>
    </row>
    <row r="22">
      <c r="B22" s="7" t="inlineStr">
        <is>
          <t>#</t>
        </is>
      </c>
      <c r="C22" s="7" t="inlineStr">
        <is>
          <t>Agency / Job</t>
        </is>
      </c>
      <c r="D22" s="7" t="inlineStr">
        <is>
          <t>Tổng HĐ</t>
        </is>
      </c>
      <c r="E22" s="7" t="inlineStr">
        <is>
          <t>Còn lại</t>
        </is>
      </c>
      <c r="F22" s="7" t="inlineStr">
        <is>
          <t>Lợi nhuận</t>
        </is>
      </c>
      <c r="G22" s="7" t="inlineStr">
        <is>
          <t>Trạng thái</t>
        </is>
      </c>
    </row>
    <row r="23">
      <c r="B23" s="12" t="n">
        <v>1</v>
      </c>
      <c r="C23" s="13">
        <f>IF('02_JOB_AGENCY'!B5="","",'02_JOB_AGENCY'!B5&amp;" — "&amp;'02_JOB_AGENCY'!C5)</f>
        <v/>
      </c>
      <c r="D23" s="8">
        <f>IF('02_JOB_AGENCY'!B5="","",'02_JOB_AGENCY'!E5)</f>
        <v/>
      </c>
      <c r="E23" s="8">
        <f>IF('02_JOB_AGENCY'!B5="","",'02_JOB_AGENCY'!G5)</f>
        <v/>
      </c>
      <c r="F23" s="8">
        <f>IF('02_JOB_AGENCY'!B5="","",'02_JOB_AGENCY'!I5)</f>
        <v/>
      </c>
      <c r="G23" s="13">
        <f>IF('02_JOB_AGENCY'!B5="","",'02_JOB_AGENCY'!J5)</f>
        <v/>
      </c>
    </row>
    <row r="24">
      <c r="B24" s="12" t="n">
        <v>2</v>
      </c>
      <c r="C24" s="13">
        <f>IF('02_JOB_AGENCY'!B6="","",'02_JOB_AGENCY'!B6&amp;" — "&amp;'02_JOB_AGENCY'!C6)</f>
        <v/>
      </c>
      <c r="D24" s="8">
        <f>IF('02_JOB_AGENCY'!B6="","",'02_JOB_AGENCY'!E6)</f>
        <v/>
      </c>
      <c r="E24" s="8">
        <f>IF('02_JOB_AGENCY'!B6="","",'02_JOB_AGENCY'!G6)</f>
        <v/>
      </c>
      <c r="F24" s="8">
        <f>IF('02_JOB_AGENCY'!B6="","",'02_JOB_AGENCY'!I6)</f>
        <v/>
      </c>
      <c r="G24" s="13">
        <f>IF('02_JOB_AGENCY'!B6="","",'02_JOB_AGENCY'!J6)</f>
        <v/>
      </c>
    </row>
    <row r="25">
      <c r="B25" s="12" t="n">
        <v>3</v>
      </c>
      <c r="C25" s="13">
        <f>IF('02_JOB_AGENCY'!B7="","",'02_JOB_AGENCY'!B7&amp;" — "&amp;'02_JOB_AGENCY'!C7)</f>
        <v/>
      </c>
      <c r="D25" s="8">
        <f>IF('02_JOB_AGENCY'!B7="","",'02_JOB_AGENCY'!E7)</f>
        <v/>
      </c>
      <c r="E25" s="8">
        <f>IF('02_JOB_AGENCY'!B7="","",'02_JOB_AGENCY'!G7)</f>
        <v/>
      </c>
      <c r="F25" s="8">
        <f>IF('02_JOB_AGENCY'!B7="","",'02_JOB_AGENCY'!I7)</f>
        <v/>
      </c>
      <c r="G25" s="13">
        <f>IF('02_JOB_AGENCY'!B7="","",'02_JOB_AGENCY'!J7)</f>
        <v/>
      </c>
    </row>
    <row r="26">
      <c r="B26" s="12" t="n">
        <v>4</v>
      </c>
      <c r="C26" s="13">
        <f>IF('02_JOB_AGENCY'!B8="","",'02_JOB_AGENCY'!B8&amp;" — "&amp;'02_JOB_AGENCY'!C8)</f>
        <v/>
      </c>
      <c r="D26" s="8">
        <f>IF('02_JOB_AGENCY'!B8="","",'02_JOB_AGENCY'!E8)</f>
        <v/>
      </c>
      <c r="E26" s="8">
        <f>IF('02_JOB_AGENCY'!B8="","",'02_JOB_AGENCY'!G8)</f>
        <v/>
      </c>
      <c r="F26" s="8">
        <f>IF('02_JOB_AGENCY'!B8="","",'02_JOB_AGENCY'!I8)</f>
        <v/>
      </c>
      <c r="G26" s="13">
        <f>IF('02_JOB_AGENCY'!B8="","",'02_JOB_AGENCY'!J8)</f>
        <v/>
      </c>
    </row>
    <row r="27">
      <c r="B27" s="12" t="n">
        <v>5</v>
      </c>
      <c r="C27" s="13">
        <f>IF('02_JOB_AGENCY'!B9="","",'02_JOB_AGENCY'!B9&amp;" — "&amp;'02_JOB_AGENCY'!C9)</f>
        <v/>
      </c>
      <c r="D27" s="8">
        <f>IF('02_JOB_AGENCY'!B9="","",'02_JOB_AGENCY'!E9)</f>
        <v/>
      </c>
      <c r="E27" s="8">
        <f>IF('02_JOB_AGENCY'!B9="","",'02_JOB_AGENCY'!G9)</f>
        <v/>
      </c>
      <c r="F27" s="8">
        <f>IF('02_JOB_AGENCY'!B9="","",'02_JOB_AGENCY'!I9)</f>
        <v/>
      </c>
      <c r="G27" s="13">
        <f>IF('02_JOB_AGENCY'!B9="","",'02_JOB_AGENCY'!J9)</f>
        <v/>
      </c>
    </row>
    <row r="28">
      <c r="B28" s="12" t="n">
        <v>6</v>
      </c>
      <c r="C28" s="13">
        <f>IF('02_JOB_AGENCY'!B10="","",'02_JOB_AGENCY'!B10&amp;" — "&amp;'02_JOB_AGENCY'!C10)</f>
        <v/>
      </c>
      <c r="D28" s="8">
        <f>IF('02_JOB_AGENCY'!B10="","",'02_JOB_AGENCY'!E10)</f>
        <v/>
      </c>
      <c r="E28" s="8">
        <f>IF('02_JOB_AGENCY'!B10="","",'02_JOB_AGENCY'!G10)</f>
        <v/>
      </c>
      <c r="F28" s="8">
        <f>IF('02_JOB_AGENCY'!B10="","",'02_JOB_AGENCY'!I10)</f>
        <v/>
      </c>
      <c r="G28" s="13">
        <f>IF('02_JOB_AGENCY'!B10="","",'02_JOB_AGENCY'!J10)</f>
        <v/>
      </c>
    </row>
    <row r="29">
      <c r="B29" s="12" t="n">
        <v>7</v>
      </c>
      <c r="C29" s="13">
        <f>IF('02_JOB_AGENCY'!B11="","",'02_JOB_AGENCY'!B11&amp;" — "&amp;'02_JOB_AGENCY'!C11)</f>
        <v/>
      </c>
      <c r="D29" s="8">
        <f>IF('02_JOB_AGENCY'!B11="","",'02_JOB_AGENCY'!E11)</f>
        <v/>
      </c>
      <c r="E29" s="8">
        <f>IF('02_JOB_AGENCY'!B11="","",'02_JOB_AGENCY'!G11)</f>
        <v/>
      </c>
      <c r="F29" s="8">
        <f>IF('02_JOB_AGENCY'!B11="","",'02_JOB_AGENCY'!I11)</f>
        <v/>
      </c>
      <c r="G29" s="13">
        <f>IF('02_JOB_AGENCY'!B11="","",'02_JOB_AGENCY'!J11)</f>
        <v/>
      </c>
    </row>
    <row r="30">
      <c r="B30" s="12" t="n">
        <v>8</v>
      </c>
      <c r="C30" s="13">
        <f>IF('02_JOB_AGENCY'!B12="","",'02_JOB_AGENCY'!B12&amp;" — "&amp;'02_JOB_AGENCY'!C12)</f>
        <v/>
      </c>
      <c r="D30" s="8">
        <f>IF('02_JOB_AGENCY'!B12="","",'02_JOB_AGENCY'!E12)</f>
        <v/>
      </c>
      <c r="E30" s="8">
        <f>IF('02_JOB_AGENCY'!B12="","",'02_JOB_AGENCY'!G12)</f>
        <v/>
      </c>
      <c r="F30" s="8">
        <f>IF('02_JOB_AGENCY'!B12="","",'02_JOB_AGENCY'!I12)</f>
        <v/>
      </c>
      <c r="G30" s="13">
        <f>IF('02_JOB_AGENCY'!B12="","",'02_JOB_AGENCY'!J12)</f>
        <v/>
      </c>
    </row>
    <row r="31">
      <c r="B31" s="12" t="n">
        <v>9</v>
      </c>
      <c r="C31" s="13">
        <f>IF('02_JOB_AGENCY'!B13="","",'02_JOB_AGENCY'!B13&amp;" — "&amp;'02_JOB_AGENCY'!C13)</f>
        <v/>
      </c>
      <c r="D31" s="8">
        <f>IF('02_JOB_AGENCY'!B13="","",'02_JOB_AGENCY'!E13)</f>
        <v/>
      </c>
      <c r="E31" s="8">
        <f>IF('02_JOB_AGENCY'!B13="","",'02_JOB_AGENCY'!G13)</f>
        <v/>
      </c>
      <c r="F31" s="8">
        <f>IF('02_JOB_AGENCY'!B13="","",'02_JOB_AGENCY'!I13)</f>
        <v/>
      </c>
      <c r="G31" s="13">
        <f>IF('02_JOB_AGENCY'!B13="","",'02_JOB_AGENCY'!J13)</f>
        <v/>
      </c>
    </row>
    <row r="32">
      <c r="B32" s="12" t="n">
        <v>10</v>
      </c>
      <c r="C32" s="13">
        <f>IF('02_JOB_AGENCY'!B14="","",'02_JOB_AGENCY'!B14&amp;" — "&amp;'02_JOB_AGENCY'!C14)</f>
        <v/>
      </c>
      <c r="D32" s="8">
        <f>IF('02_JOB_AGENCY'!B14="","",'02_JOB_AGENCY'!E14)</f>
        <v/>
      </c>
      <c r="E32" s="8">
        <f>IF('02_JOB_AGENCY'!B14="","",'02_JOB_AGENCY'!G14)</f>
        <v/>
      </c>
      <c r="F32" s="8">
        <f>IF('02_JOB_AGENCY'!B14="","",'02_JOB_AGENCY'!I14)</f>
        <v/>
      </c>
      <c r="G32" s="13">
        <f>IF('02_JOB_AGENCY'!B14="","",'02_JOB_AGENCY'!J14)</f>
        <v/>
      </c>
    </row>
    <row r="34">
      <c r="B34" s="6" t="inlineStr">
        <is>
          <t>D. LIÊN KẾT NHANH</t>
        </is>
      </c>
    </row>
    <row r="35">
      <c r="B35" s="3" t="inlineStr">
        <is>
          <t>Job Agency (sổ cái)</t>
        </is>
      </c>
      <c r="C35" s="2" t="inlineStr">
        <is>
          <t>Xem sheet 02_JOB_AGENCY</t>
        </is>
      </c>
    </row>
    <row r="36">
      <c r="B36" s="3" t="inlineStr">
        <is>
          <t>Công nợ chi tiết</t>
        </is>
      </c>
      <c r="C36" s="2" t="inlineStr">
        <is>
          <t>Xem sheet 03_CONG_NO</t>
        </is>
      </c>
    </row>
    <row r="37">
      <c r="B37" s="3" t="inlineStr">
        <is>
          <t>Job LG (mẫu)</t>
        </is>
      </c>
      <c r="C37" s="2" t="inlineStr">
        <is>
          <t>Xem sheet JOB_LG — copy _TEMPLATE_JOB để thêm job</t>
        </is>
      </c>
    </row>
    <row r="38">
      <c r="B38" s="3" t="inlineStr">
        <is>
          <t>Job Bluescope</t>
        </is>
      </c>
      <c r="C38" s="2" t="inlineStr">
        <is>
          <t>Xem sheet JOB_BLUESCOPE</t>
        </is>
      </c>
    </row>
    <row r="39">
      <c r="B39" s="3" t="inlineStr">
        <is>
          <t>Mở Bluescope Booking (file riêng)</t>
        </is>
      </c>
      <c r="C39" s="14" t="inlineStr">
        <is>
          <t>https://docs.google.com/spreadsheets/d/1ygn6O9Ej1-AmaeCVDOp6UD3pnbiyhG0c-ZUJ4MgNzdo/edit</t>
        </is>
      </c>
    </row>
    <row r="40">
      <c r="B40" s="3" t="inlineStr">
        <is>
          <t>Cấu hình % / tiền hiện có</t>
        </is>
      </c>
      <c r="C40" s="2" t="inlineStr">
        <is>
          <t>Xem sheet 99_CAU_HINH</t>
        </is>
      </c>
    </row>
    <row r="42">
      <c r="B42" s="3" t="inlineStr">
        <is>
          <t xml:space="preserve">Net sức khỏe = Tiền hiện có + Công nợ phải thu − Tổng nợ phải trả  →  </t>
        </is>
      </c>
      <c r="C42" s="15">
        <f>C6+C16-C10</f>
        <v/>
      </c>
      <c r="D42" s="2" t="inlineStr">
        <is>
          <t>Tiền + phải thu − phải trả</t>
        </is>
      </c>
    </row>
  </sheetData>
  <mergeCells count="6">
    <mergeCell ref="B34:G34"/>
    <mergeCell ref="A2:H2"/>
    <mergeCell ref="B4:D4"/>
    <mergeCell ref="B18:G18"/>
    <mergeCell ref="B13:G13"/>
    <mergeCell ref="A1:H1"/>
  </mergeCells>
  <hyperlinks>
    <hyperlink xmlns:r="http://schemas.openxmlformats.org/officeDocument/2006/relationships" ref="C39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40" customWidth="1" min="11" max="11"/>
    <col width="18" customWidth="1" min="12" max="12"/>
  </cols>
  <sheetData>
    <row r="1" ht="28" customHeight="1">
      <c r="A1" s="1" t="inlineStr">
        <is>
          <t>02 · JOB AGENCY — Sổ cái job (nhiều job kiểu LG)</t>
        </is>
      </c>
    </row>
    <row r="2">
      <c r="A2" s="16" t="inlineStr">
        <is>
          <t>Mỗi dòng = 1 job. Cột 'Tên sheet' phải trùng tên tab (JOB_LG, JOB_BLUESCOPE, …). Các cột tiền tự lấy từ EXPORT_KPI (I4:I11) của sheet job. Thêm job: copy _TEMPLATE_JOB + thêm dòng.</t>
        </is>
      </c>
    </row>
    <row r="4" ht="22" customHeight="1">
      <c r="A4" s="7" t="inlineStr">
        <is>
          <t>#</t>
        </is>
      </c>
      <c r="B4" s="7" t="inlineStr">
        <is>
          <t>Agency</t>
        </is>
      </c>
      <c r="C4" s="7" t="inlineStr">
        <is>
          <t>Tên job</t>
        </is>
      </c>
      <c r="D4" s="7" t="inlineStr">
        <is>
          <t>Tên sheet</t>
        </is>
      </c>
      <c r="E4" s="7" t="inlineStr">
        <is>
          <t>Tổng HĐ</t>
        </is>
      </c>
      <c r="F4" s="7" t="inlineStr">
        <is>
          <t>Đã thu</t>
        </is>
      </c>
      <c r="G4" s="7" t="inlineStr">
        <is>
          <t>Còn lại</t>
        </is>
      </c>
      <c r="H4" s="7" t="inlineStr">
        <is>
          <t>Chi phí</t>
        </is>
      </c>
      <c r="I4" s="7" t="inlineStr">
        <is>
          <t>Lợi nhuận</t>
        </is>
      </c>
      <c r="J4" s="7" t="inlineStr">
        <is>
          <t>Trạng thái</t>
        </is>
      </c>
      <c r="K4" s="7" t="inlineStr">
        <is>
          <t>Link ngoài</t>
        </is>
      </c>
      <c r="L4" s="7" t="inlineStr">
        <is>
          <t>Ghi chú</t>
        </is>
      </c>
    </row>
    <row r="5">
      <c r="A5" s="12" t="n">
        <v>1</v>
      </c>
      <c r="B5" s="17" t="inlineStr">
        <is>
          <t>LG</t>
        </is>
      </c>
      <c r="C5" s="17" t="inlineStr">
        <is>
          <t>LG Production</t>
        </is>
      </c>
      <c r="D5" s="17" t="inlineStr">
        <is>
          <t>JOB_LG</t>
        </is>
      </c>
      <c r="E5" s="8">
        <f>IF(D5="","",IFERROR(INDIRECT("'"&amp;D5&amp;"'!I4"),0))</f>
        <v/>
      </c>
      <c r="F5" s="8">
        <f>IF(D5="","",IFERROR(INDIRECT("'"&amp;D5&amp;"'!I5"),0))</f>
        <v/>
      </c>
      <c r="G5" s="8">
        <f>IF(D5="","",IFERROR(INDIRECT("'"&amp;D5&amp;"'!I6"),0))</f>
        <v/>
      </c>
      <c r="H5" s="8">
        <f>IF(D5="","",IFERROR(INDIRECT("'"&amp;D5&amp;"'!I7"),0))</f>
        <v/>
      </c>
      <c r="I5" s="8">
        <f>IF(D5="","",IFERROR(INDIRECT("'"&amp;D5&amp;"'!I8"),0))</f>
        <v/>
      </c>
      <c r="J5" s="13">
        <f>IF(D5="","",IFERROR(INDIRECT("'"&amp;D5&amp;"'!I11"),""))</f>
        <v/>
      </c>
      <c r="K5" s="13">
        <f>IF(D5="","",IFERROR(INDIRECT("'"&amp;D5&amp;"'!I12"),""))</f>
        <v/>
      </c>
      <c r="L5" s="17" t="inlineStr"/>
    </row>
    <row r="6">
      <c r="A6" s="12" t="n">
        <v>2</v>
      </c>
      <c r="B6" s="17" t="inlineStr">
        <is>
          <t>Bluescope</t>
        </is>
      </c>
      <c r="C6" s="17" t="inlineStr">
        <is>
          <t>Booking 2025–2026</t>
        </is>
      </c>
      <c r="D6" s="17" t="inlineStr">
        <is>
          <t>JOB_BLUESCOPE</t>
        </is>
      </c>
      <c r="E6" s="8">
        <f>IF(D6="","",IFERROR(INDIRECT("'"&amp;D6&amp;"'!I4"),0))</f>
        <v/>
      </c>
      <c r="F6" s="8">
        <f>IF(D6="","",IFERROR(INDIRECT("'"&amp;D6&amp;"'!I5"),0))</f>
        <v/>
      </c>
      <c r="G6" s="8">
        <f>IF(D6="","",IFERROR(INDIRECT("'"&amp;D6&amp;"'!I6"),0))</f>
        <v/>
      </c>
      <c r="H6" s="8">
        <f>IF(D6="","",IFERROR(INDIRECT("'"&amp;D6&amp;"'!I7"),0))</f>
        <v/>
      </c>
      <c r="I6" s="8">
        <f>IF(D6="","",IFERROR(INDIRECT("'"&amp;D6&amp;"'!I8"),0))</f>
        <v/>
      </c>
      <c r="J6" s="13">
        <f>IF(D6="","",IFERROR(INDIRECT("'"&amp;D6&amp;"'!I11"),""))</f>
        <v/>
      </c>
      <c r="K6" s="13">
        <f>IF(D6="","",IFERROR(INDIRECT("'"&amp;D6&amp;"'!I12"),"https://docs.google.com/spreadsheets/d/1ygn6O9Ej1-AmaeCVDOp6UD3pnbiyhG0c-ZUJ4MgNzdo/edit"))</f>
        <v/>
      </c>
      <c r="L6" s="17" t="inlineStr"/>
    </row>
    <row r="7">
      <c r="A7" s="12" t="n">
        <v>3</v>
      </c>
      <c r="B7" s="17" t="inlineStr">
        <is>
          <t>Bizeyes - Thảo Hiếu</t>
        </is>
      </c>
      <c r="C7" s="17" t="inlineStr">
        <is>
          <t>Rivus</t>
        </is>
      </c>
      <c r="D7" s="17" t="inlineStr"/>
      <c r="E7" s="18" t="n">
        <v>10700000</v>
      </c>
      <c r="F7" s="18" t="n">
        <v>0</v>
      </c>
      <c r="G7" s="8">
        <f>E7-F7</f>
        <v/>
      </c>
      <c r="H7" s="18" t="n">
        <v>0</v>
      </c>
      <c r="I7" s="18" t="n">
        <v>0</v>
      </c>
      <c r="J7" s="17" t="inlineStr">
        <is>
          <t>Chưa gắn sheet</t>
        </is>
      </c>
      <c r="K7" s="17" t="inlineStr"/>
      <c r="L7" s="17" t="inlineStr"/>
    </row>
    <row r="8">
      <c r="A8" s="12" t="n">
        <v>4</v>
      </c>
      <c r="B8" s="17" t="inlineStr">
        <is>
          <t>Bizeyes - Hiếu</t>
        </is>
      </c>
      <c r="C8" s="17" t="inlineStr">
        <is>
          <t>Masteris</t>
        </is>
      </c>
      <c r="D8" s="17" t="inlineStr"/>
      <c r="E8" s="18" t="n">
        <v>2500000</v>
      </c>
      <c r="F8" s="18" t="n">
        <v>0</v>
      </c>
      <c r="G8" s="8">
        <f>E8-F8</f>
        <v/>
      </c>
      <c r="H8" s="18" t="n">
        <v>0</v>
      </c>
      <c r="I8" s="18" t="n">
        <v>0</v>
      </c>
      <c r="J8" s="17" t="inlineStr">
        <is>
          <t>Chưa gắn sheet</t>
        </is>
      </c>
      <c r="K8" s="17" t="inlineStr"/>
      <c r="L8" s="17" t="inlineStr"/>
    </row>
    <row r="9">
      <c r="A9" s="12" t="n">
        <v>5</v>
      </c>
      <c r="B9" s="17" t="inlineStr">
        <is>
          <t>Bizeyes - Tuan</t>
        </is>
      </c>
      <c r="C9" s="17" t="inlineStr">
        <is>
          <t>Elyse</t>
        </is>
      </c>
      <c r="D9" s="17" t="inlineStr"/>
      <c r="E9" s="18" t="n">
        <v>5000000</v>
      </c>
      <c r="F9" s="18" t="n">
        <v>0</v>
      </c>
      <c r="G9" s="8">
        <f>E9-F9</f>
        <v/>
      </c>
      <c r="H9" s="18" t="n">
        <v>0</v>
      </c>
      <c r="I9" s="18" t="n">
        <v>0</v>
      </c>
      <c r="J9" s="17" t="inlineStr">
        <is>
          <t>Chưa gắn sheet</t>
        </is>
      </c>
      <c r="K9" s="17" t="inlineStr"/>
      <c r="L9" s="17" t="inlineStr"/>
    </row>
    <row r="10">
      <c r="A10" s="12" t="n">
        <v>6</v>
      </c>
      <c r="B10" s="17" t="inlineStr">
        <is>
          <t>2 Mic</t>
        </is>
      </c>
      <c r="C10" s="17" t="inlineStr">
        <is>
          <t>2 Mic</t>
        </is>
      </c>
      <c r="D10" s="17" t="inlineStr"/>
      <c r="E10" s="18" t="n">
        <v>7000000</v>
      </c>
      <c r="F10" s="18" t="n">
        <v>0</v>
      </c>
      <c r="G10" s="8">
        <f>E10-F10</f>
        <v/>
      </c>
      <c r="H10" s="18" t="n">
        <v>0</v>
      </c>
      <c r="I10" s="18" t="n">
        <v>0</v>
      </c>
      <c r="J10" s="17" t="inlineStr">
        <is>
          <t>Chưa gắn sheet</t>
        </is>
      </c>
      <c r="K10" s="17" t="inlineStr"/>
      <c r="L10" s="17" t="inlineStr"/>
    </row>
    <row r="11">
      <c r="A11" s="12" t="n">
        <v>7</v>
      </c>
      <c r="B11" s="17" t="inlineStr">
        <is>
          <t>a Trí</t>
        </is>
      </c>
      <c r="C11" s="17" t="inlineStr">
        <is>
          <t>Job a Trí</t>
        </is>
      </c>
      <c r="D11" s="17" t="inlineStr"/>
      <c r="E11" s="18" t="n">
        <v>3500000</v>
      </c>
      <c r="F11" s="18" t="n">
        <v>0</v>
      </c>
      <c r="G11" s="8">
        <f>E11-F11</f>
        <v/>
      </c>
      <c r="H11" s="18" t="n">
        <v>0</v>
      </c>
      <c r="I11" s="18" t="n">
        <v>0</v>
      </c>
      <c r="J11" s="17" t="inlineStr">
        <is>
          <t>Chưa gắn sheet</t>
        </is>
      </c>
      <c r="K11" s="17" t="inlineStr"/>
      <c r="L11" s="17" t="inlineStr"/>
    </row>
    <row r="12">
      <c r="A12" s="12" t="n">
        <v>8</v>
      </c>
      <c r="B12" s="17" t="inlineStr">
        <is>
          <t>Sky slois</t>
        </is>
      </c>
      <c r="C12" s="17" t="inlineStr">
        <is>
          <t>Sky slois</t>
        </is>
      </c>
      <c r="D12" s="17" t="inlineStr"/>
      <c r="E12" s="18" t="n">
        <v>20000000</v>
      </c>
      <c r="F12" s="18" t="n">
        <v>0</v>
      </c>
      <c r="G12" s="8">
        <f>E12-F12</f>
        <v/>
      </c>
      <c r="H12" s="18" t="n">
        <v>0</v>
      </c>
      <c r="I12" s="18" t="n">
        <v>0</v>
      </c>
      <c r="J12" s="17" t="inlineStr">
        <is>
          <t>Chưa gắn sheet</t>
        </is>
      </c>
      <c r="K12" s="17" t="inlineStr"/>
      <c r="L12" s="17" t="inlineStr"/>
    </row>
    <row r="13">
      <c r="A13" s="12" t="n">
        <v>9</v>
      </c>
      <c r="B13" s="17" t="inlineStr">
        <is>
          <t>Sun Group</t>
        </is>
      </c>
      <c r="C13" s="17" t="inlineStr">
        <is>
          <t>Sun Group</t>
        </is>
      </c>
      <c r="D13" s="17" t="inlineStr"/>
      <c r="E13" s="18" t="n">
        <v>23000000</v>
      </c>
      <c r="F13" s="18" t="n">
        <v>0</v>
      </c>
      <c r="G13" s="8">
        <f>E13-F13</f>
        <v/>
      </c>
      <c r="H13" s="18" t="n">
        <v>0</v>
      </c>
      <c r="I13" s="18" t="n">
        <v>0</v>
      </c>
      <c r="J13" s="17" t="inlineStr">
        <is>
          <t>Chưa gắn sheet</t>
        </is>
      </c>
      <c r="K13" s="17" t="inlineStr"/>
      <c r="L13" s="17" t="inlineStr"/>
    </row>
    <row r="14">
      <c r="A14" s="12" t="n">
        <v>10</v>
      </c>
      <c r="B14" s="17" t="inlineStr">
        <is>
          <t>pbcm</t>
        </is>
      </c>
      <c r="C14" s="17" t="inlineStr">
        <is>
          <t>pbcm</t>
        </is>
      </c>
      <c r="D14" s="17" t="inlineStr"/>
      <c r="E14" s="18" t="n">
        <v>26000000</v>
      </c>
      <c r="F14" s="18" t="n">
        <v>0</v>
      </c>
      <c r="G14" s="8">
        <f>E14-F14</f>
        <v/>
      </c>
      <c r="H14" s="18" t="n">
        <v>0</v>
      </c>
      <c r="I14" s="18" t="n">
        <v>0</v>
      </c>
      <c r="J14" s="17" t="inlineStr">
        <is>
          <t>Chưa gắn sheet</t>
        </is>
      </c>
      <c r="K14" s="17" t="inlineStr"/>
      <c r="L14" s="17" t="inlineStr"/>
    </row>
    <row r="15">
      <c r="A15" s="12" t="n">
        <v>11</v>
      </c>
      <c r="B15" s="17" t="inlineStr"/>
      <c r="C15" s="17" t="inlineStr"/>
      <c r="D15" s="17" t="inlineStr"/>
      <c r="E15" s="8">
        <f>IF(D15&lt;&gt;"",IFERROR(INDIRECT("'"&amp;D15&amp;"'!I4"),0),0)</f>
        <v/>
      </c>
      <c r="F15" s="8">
        <f>IF(D15&lt;&gt;"",IFERROR(INDIRECT("'"&amp;D15&amp;"'!I5"),0),0)</f>
        <v/>
      </c>
      <c r="G15" s="8">
        <f>IF(D15&lt;&gt;"",IFERROR(INDIRECT("'"&amp;D15&amp;"'!I6"),0),E15-F15)</f>
        <v/>
      </c>
      <c r="H15" s="8">
        <f>IF(D15&lt;&gt;"",IFERROR(INDIRECT("'"&amp;D15&amp;"'!I7"),0),0)</f>
        <v/>
      </c>
      <c r="I15" s="8">
        <f>IF(D15&lt;&gt;"",IFERROR(INDIRECT("'"&amp;D15&amp;"'!I8"),0),0)</f>
        <v/>
      </c>
      <c r="J15" s="13">
        <f>IF(D15&lt;&gt;"",IFERROR(INDIRECT("'"&amp;D15&amp;"'!I11"),""),"")</f>
        <v/>
      </c>
      <c r="K15" s="13">
        <f>IF(D15&lt;&gt;"",IFERROR(INDIRECT("'"&amp;D15&amp;"'!I12"),""),"")</f>
        <v/>
      </c>
      <c r="L15" s="17" t="inlineStr"/>
    </row>
    <row r="16">
      <c r="A16" s="12" t="n">
        <v>12</v>
      </c>
      <c r="B16" s="17" t="inlineStr"/>
      <c r="C16" s="17" t="inlineStr"/>
      <c r="D16" s="17" t="inlineStr"/>
      <c r="E16" s="8">
        <f>IF(D16&lt;&gt;"",IFERROR(INDIRECT("'"&amp;D16&amp;"'!I4"),0),0)</f>
        <v/>
      </c>
      <c r="F16" s="8">
        <f>IF(D16&lt;&gt;"",IFERROR(INDIRECT("'"&amp;D16&amp;"'!I5"),0),0)</f>
        <v/>
      </c>
      <c r="G16" s="8">
        <f>IF(D16&lt;&gt;"",IFERROR(INDIRECT("'"&amp;D16&amp;"'!I6"),0),E16-F16)</f>
        <v/>
      </c>
      <c r="H16" s="8">
        <f>IF(D16&lt;&gt;"",IFERROR(INDIRECT("'"&amp;D16&amp;"'!I7"),0),0)</f>
        <v/>
      </c>
      <c r="I16" s="8">
        <f>IF(D16&lt;&gt;"",IFERROR(INDIRECT("'"&amp;D16&amp;"'!I8"),0),0)</f>
        <v/>
      </c>
      <c r="J16" s="13">
        <f>IF(D16&lt;&gt;"",IFERROR(INDIRECT("'"&amp;D16&amp;"'!I11"),""),"")</f>
        <v/>
      </c>
      <c r="K16" s="13">
        <f>IF(D16&lt;&gt;"",IFERROR(INDIRECT("'"&amp;D16&amp;"'!I12"),""),"")</f>
        <v/>
      </c>
      <c r="L16" s="17" t="inlineStr"/>
    </row>
    <row r="17">
      <c r="A17" s="12" t="n">
        <v>13</v>
      </c>
      <c r="B17" s="17" t="inlineStr"/>
      <c r="C17" s="17" t="inlineStr"/>
      <c r="D17" s="17" t="inlineStr"/>
      <c r="E17" s="8">
        <f>IF(D17&lt;&gt;"",IFERROR(INDIRECT("'"&amp;D17&amp;"'!I4"),0),0)</f>
        <v/>
      </c>
      <c r="F17" s="8">
        <f>IF(D17&lt;&gt;"",IFERROR(INDIRECT("'"&amp;D17&amp;"'!I5"),0),0)</f>
        <v/>
      </c>
      <c r="G17" s="8">
        <f>IF(D17&lt;&gt;"",IFERROR(INDIRECT("'"&amp;D17&amp;"'!I6"),0),E17-F17)</f>
        <v/>
      </c>
      <c r="H17" s="8">
        <f>IF(D17&lt;&gt;"",IFERROR(INDIRECT("'"&amp;D17&amp;"'!I7"),0),0)</f>
        <v/>
      </c>
      <c r="I17" s="8">
        <f>IF(D17&lt;&gt;"",IFERROR(INDIRECT("'"&amp;D17&amp;"'!I8"),0),0)</f>
        <v/>
      </c>
      <c r="J17" s="13">
        <f>IF(D17&lt;&gt;"",IFERROR(INDIRECT("'"&amp;D17&amp;"'!I11"),""),"")</f>
        <v/>
      </c>
      <c r="K17" s="13">
        <f>IF(D17&lt;&gt;"",IFERROR(INDIRECT("'"&amp;D17&amp;"'!I12"),""),"")</f>
        <v/>
      </c>
      <c r="L17" s="17" t="inlineStr"/>
    </row>
    <row r="18">
      <c r="A18" s="12" t="n">
        <v>14</v>
      </c>
      <c r="B18" s="17" t="inlineStr"/>
      <c r="C18" s="17" t="inlineStr"/>
      <c r="D18" s="17" t="inlineStr"/>
      <c r="E18" s="8">
        <f>IF(D18&lt;&gt;"",IFERROR(INDIRECT("'"&amp;D18&amp;"'!I4"),0),0)</f>
        <v/>
      </c>
      <c r="F18" s="8">
        <f>IF(D18&lt;&gt;"",IFERROR(INDIRECT("'"&amp;D18&amp;"'!I5"),0),0)</f>
        <v/>
      </c>
      <c r="G18" s="8">
        <f>IF(D18&lt;&gt;"",IFERROR(INDIRECT("'"&amp;D18&amp;"'!I6"),0),E18-F18)</f>
        <v/>
      </c>
      <c r="H18" s="8">
        <f>IF(D18&lt;&gt;"",IFERROR(INDIRECT("'"&amp;D18&amp;"'!I7"),0),0)</f>
        <v/>
      </c>
      <c r="I18" s="8">
        <f>IF(D18&lt;&gt;"",IFERROR(INDIRECT("'"&amp;D18&amp;"'!I8"),0),0)</f>
        <v/>
      </c>
      <c r="J18" s="13">
        <f>IF(D18&lt;&gt;"",IFERROR(INDIRECT("'"&amp;D18&amp;"'!I11"),""),"")</f>
        <v/>
      </c>
      <c r="K18" s="13">
        <f>IF(D18&lt;&gt;"",IFERROR(INDIRECT("'"&amp;D18&amp;"'!I12"),""),"")</f>
        <v/>
      </c>
      <c r="L18" s="17" t="inlineStr"/>
    </row>
    <row r="19">
      <c r="A19" s="12" t="n">
        <v>15</v>
      </c>
      <c r="B19" s="17" t="inlineStr"/>
      <c r="C19" s="17" t="inlineStr"/>
      <c r="D19" s="17" t="inlineStr"/>
      <c r="E19" s="8">
        <f>IF(D19&lt;&gt;"",IFERROR(INDIRECT("'"&amp;D19&amp;"'!I4"),0),0)</f>
        <v/>
      </c>
      <c r="F19" s="8">
        <f>IF(D19&lt;&gt;"",IFERROR(INDIRECT("'"&amp;D19&amp;"'!I5"),0),0)</f>
        <v/>
      </c>
      <c r="G19" s="8">
        <f>IF(D19&lt;&gt;"",IFERROR(INDIRECT("'"&amp;D19&amp;"'!I6"),0),E19-F19)</f>
        <v/>
      </c>
      <c r="H19" s="8">
        <f>IF(D19&lt;&gt;"",IFERROR(INDIRECT("'"&amp;D19&amp;"'!I7"),0),0)</f>
        <v/>
      </c>
      <c r="I19" s="8">
        <f>IF(D19&lt;&gt;"",IFERROR(INDIRECT("'"&amp;D19&amp;"'!I8"),0),0)</f>
        <v/>
      </c>
      <c r="J19" s="13">
        <f>IF(D19&lt;&gt;"",IFERROR(INDIRECT("'"&amp;D19&amp;"'!I11"),""),"")</f>
        <v/>
      </c>
      <c r="K19" s="13">
        <f>IF(D19&lt;&gt;"",IFERROR(INDIRECT("'"&amp;D19&amp;"'!I12"),""),"")</f>
        <v/>
      </c>
      <c r="L19" s="17" t="inlineStr"/>
    </row>
    <row r="20">
      <c r="A20" s="12" t="n">
        <v>16</v>
      </c>
      <c r="B20" s="17" t="inlineStr"/>
      <c r="C20" s="17" t="inlineStr"/>
      <c r="D20" s="17" t="inlineStr"/>
      <c r="E20" s="8">
        <f>IF(D20&lt;&gt;"",IFERROR(INDIRECT("'"&amp;D20&amp;"'!I4"),0),0)</f>
        <v/>
      </c>
      <c r="F20" s="8">
        <f>IF(D20&lt;&gt;"",IFERROR(INDIRECT("'"&amp;D20&amp;"'!I5"),0),0)</f>
        <v/>
      </c>
      <c r="G20" s="8">
        <f>IF(D20&lt;&gt;"",IFERROR(INDIRECT("'"&amp;D20&amp;"'!I6"),0),E20-F20)</f>
        <v/>
      </c>
      <c r="H20" s="8">
        <f>IF(D20&lt;&gt;"",IFERROR(INDIRECT("'"&amp;D20&amp;"'!I7"),0),0)</f>
        <v/>
      </c>
      <c r="I20" s="8">
        <f>IF(D20&lt;&gt;"",IFERROR(INDIRECT("'"&amp;D20&amp;"'!I8"),0),0)</f>
        <v/>
      </c>
      <c r="J20" s="13">
        <f>IF(D20&lt;&gt;"",IFERROR(INDIRECT("'"&amp;D20&amp;"'!I11"),""),"")</f>
        <v/>
      </c>
      <c r="K20" s="13">
        <f>IF(D20&lt;&gt;"",IFERROR(INDIRECT("'"&amp;D20&amp;"'!I12"),""),"")</f>
        <v/>
      </c>
      <c r="L20" s="17" t="inlineStr"/>
    </row>
    <row r="21">
      <c r="A21" s="12" t="n">
        <v>17</v>
      </c>
      <c r="B21" s="17" t="inlineStr"/>
      <c r="C21" s="17" t="inlineStr"/>
      <c r="D21" s="17" t="inlineStr"/>
      <c r="E21" s="8">
        <f>IF(D21&lt;&gt;"",IFERROR(INDIRECT("'"&amp;D21&amp;"'!I4"),0),0)</f>
        <v/>
      </c>
      <c r="F21" s="8">
        <f>IF(D21&lt;&gt;"",IFERROR(INDIRECT("'"&amp;D21&amp;"'!I5"),0),0)</f>
        <v/>
      </c>
      <c r="G21" s="8">
        <f>IF(D21&lt;&gt;"",IFERROR(INDIRECT("'"&amp;D21&amp;"'!I6"),0),E21-F21)</f>
        <v/>
      </c>
      <c r="H21" s="8">
        <f>IF(D21&lt;&gt;"",IFERROR(INDIRECT("'"&amp;D21&amp;"'!I7"),0),0)</f>
        <v/>
      </c>
      <c r="I21" s="8">
        <f>IF(D21&lt;&gt;"",IFERROR(INDIRECT("'"&amp;D21&amp;"'!I8"),0),0)</f>
        <v/>
      </c>
      <c r="J21" s="13">
        <f>IF(D21&lt;&gt;"",IFERROR(INDIRECT("'"&amp;D21&amp;"'!I11"),""),"")</f>
        <v/>
      </c>
      <c r="K21" s="13">
        <f>IF(D21&lt;&gt;"",IFERROR(INDIRECT("'"&amp;D21&amp;"'!I12"),""),"")</f>
        <v/>
      </c>
      <c r="L21" s="17" t="inlineStr"/>
    </row>
    <row r="22">
      <c r="A22" s="12" t="n">
        <v>18</v>
      </c>
      <c r="B22" s="17" t="inlineStr"/>
      <c r="C22" s="17" t="inlineStr"/>
      <c r="D22" s="17" t="inlineStr"/>
      <c r="E22" s="8">
        <f>IF(D22&lt;&gt;"",IFERROR(INDIRECT("'"&amp;D22&amp;"'!I4"),0),0)</f>
        <v/>
      </c>
      <c r="F22" s="8">
        <f>IF(D22&lt;&gt;"",IFERROR(INDIRECT("'"&amp;D22&amp;"'!I5"),0),0)</f>
        <v/>
      </c>
      <c r="G22" s="8">
        <f>IF(D22&lt;&gt;"",IFERROR(INDIRECT("'"&amp;D22&amp;"'!I6"),0),E22-F22)</f>
        <v/>
      </c>
      <c r="H22" s="8">
        <f>IF(D22&lt;&gt;"",IFERROR(INDIRECT("'"&amp;D22&amp;"'!I7"),0),0)</f>
        <v/>
      </c>
      <c r="I22" s="8">
        <f>IF(D22&lt;&gt;"",IFERROR(INDIRECT("'"&amp;D22&amp;"'!I8"),0),0)</f>
        <v/>
      </c>
      <c r="J22" s="13">
        <f>IF(D22&lt;&gt;"",IFERROR(INDIRECT("'"&amp;D22&amp;"'!I11"),""),"")</f>
        <v/>
      </c>
      <c r="K22" s="13">
        <f>IF(D22&lt;&gt;"",IFERROR(INDIRECT("'"&amp;D22&amp;"'!I12"),""),"")</f>
        <v/>
      </c>
      <c r="L22" s="17" t="inlineStr"/>
    </row>
    <row r="23">
      <c r="A23" s="12" t="n">
        <v>19</v>
      </c>
      <c r="B23" s="17" t="inlineStr"/>
      <c r="C23" s="17" t="inlineStr"/>
      <c r="D23" s="17" t="inlineStr"/>
      <c r="E23" s="8">
        <f>IF(D23&lt;&gt;"",IFERROR(INDIRECT("'"&amp;D23&amp;"'!I4"),0),0)</f>
        <v/>
      </c>
      <c r="F23" s="8">
        <f>IF(D23&lt;&gt;"",IFERROR(INDIRECT("'"&amp;D23&amp;"'!I5"),0),0)</f>
        <v/>
      </c>
      <c r="G23" s="8">
        <f>IF(D23&lt;&gt;"",IFERROR(INDIRECT("'"&amp;D23&amp;"'!I6"),0),E23-F23)</f>
        <v/>
      </c>
      <c r="H23" s="8">
        <f>IF(D23&lt;&gt;"",IFERROR(INDIRECT("'"&amp;D23&amp;"'!I7"),0),0)</f>
        <v/>
      </c>
      <c r="I23" s="8">
        <f>IF(D23&lt;&gt;"",IFERROR(INDIRECT("'"&amp;D23&amp;"'!I8"),0),0)</f>
        <v/>
      </c>
      <c r="J23" s="13">
        <f>IF(D23&lt;&gt;"",IFERROR(INDIRECT("'"&amp;D23&amp;"'!I11"),""),"")</f>
        <v/>
      </c>
      <c r="K23" s="13">
        <f>IF(D23&lt;&gt;"",IFERROR(INDIRECT("'"&amp;D23&amp;"'!I12"),""),"")</f>
        <v/>
      </c>
      <c r="L23" s="17" t="inlineStr"/>
    </row>
    <row r="24">
      <c r="A24" s="12" t="n">
        <v>20</v>
      </c>
      <c r="B24" s="17" t="inlineStr"/>
      <c r="C24" s="17" t="inlineStr"/>
      <c r="D24" s="17" t="inlineStr"/>
      <c r="E24" s="8">
        <f>IF(D24&lt;&gt;"",IFERROR(INDIRECT("'"&amp;D24&amp;"'!I4"),0),0)</f>
        <v/>
      </c>
      <c r="F24" s="8">
        <f>IF(D24&lt;&gt;"",IFERROR(INDIRECT("'"&amp;D24&amp;"'!I5"),0),0)</f>
        <v/>
      </c>
      <c r="G24" s="8">
        <f>IF(D24&lt;&gt;"",IFERROR(INDIRECT("'"&amp;D24&amp;"'!I6"),0),E24-F24)</f>
        <v/>
      </c>
      <c r="H24" s="8">
        <f>IF(D24&lt;&gt;"",IFERROR(INDIRECT("'"&amp;D24&amp;"'!I7"),0),0)</f>
        <v/>
      </c>
      <c r="I24" s="8">
        <f>IF(D24&lt;&gt;"",IFERROR(INDIRECT("'"&amp;D24&amp;"'!I8"),0),0)</f>
        <v/>
      </c>
      <c r="J24" s="13">
        <f>IF(D24&lt;&gt;"",IFERROR(INDIRECT("'"&amp;D24&amp;"'!I11"),""),"")</f>
        <v/>
      </c>
      <c r="K24" s="13">
        <f>IF(D24&lt;&gt;"",IFERROR(INDIRECT("'"&amp;D24&amp;"'!I12"),""),"")</f>
        <v/>
      </c>
      <c r="L24" s="17" t="inlineStr"/>
    </row>
    <row r="25">
      <c r="A25" s="12" t="n">
        <v>21</v>
      </c>
      <c r="B25" s="17" t="inlineStr"/>
      <c r="C25" s="17" t="inlineStr"/>
      <c r="D25" s="17" t="inlineStr"/>
      <c r="E25" s="8">
        <f>IF(D25&lt;&gt;"",IFERROR(INDIRECT("'"&amp;D25&amp;"'!I4"),0),0)</f>
        <v/>
      </c>
      <c r="F25" s="8">
        <f>IF(D25&lt;&gt;"",IFERROR(INDIRECT("'"&amp;D25&amp;"'!I5"),0),0)</f>
        <v/>
      </c>
      <c r="G25" s="8">
        <f>IF(D25&lt;&gt;"",IFERROR(INDIRECT("'"&amp;D25&amp;"'!I6"),0),E25-F25)</f>
        <v/>
      </c>
      <c r="H25" s="8">
        <f>IF(D25&lt;&gt;"",IFERROR(INDIRECT("'"&amp;D25&amp;"'!I7"),0),0)</f>
        <v/>
      </c>
      <c r="I25" s="8">
        <f>IF(D25&lt;&gt;"",IFERROR(INDIRECT("'"&amp;D25&amp;"'!I8"),0),0)</f>
        <v/>
      </c>
      <c r="J25" s="13">
        <f>IF(D25&lt;&gt;"",IFERROR(INDIRECT("'"&amp;D25&amp;"'!I11"),""),"")</f>
        <v/>
      </c>
      <c r="K25" s="13">
        <f>IF(D25&lt;&gt;"",IFERROR(INDIRECT("'"&amp;D25&amp;"'!I12"),""),"")</f>
        <v/>
      </c>
      <c r="L25" s="17" t="inlineStr"/>
    </row>
    <row r="26">
      <c r="A26" s="12" t="n">
        <v>22</v>
      </c>
      <c r="B26" s="17" t="inlineStr"/>
      <c r="C26" s="17" t="inlineStr"/>
      <c r="D26" s="17" t="inlineStr"/>
      <c r="E26" s="8">
        <f>IF(D26&lt;&gt;"",IFERROR(INDIRECT("'"&amp;D26&amp;"'!I4"),0),0)</f>
        <v/>
      </c>
      <c r="F26" s="8">
        <f>IF(D26&lt;&gt;"",IFERROR(INDIRECT("'"&amp;D26&amp;"'!I5"),0),0)</f>
        <v/>
      </c>
      <c r="G26" s="8">
        <f>IF(D26&lt;&gt;"",IFERROR(INDIRECT("'"&amp;D26&amp;"'!I6"),0),E26-F26)</f>
        <v/>
      </c>
      <c r="H26" s="8">
        <f>IF(D26&lt;&gt;"",IFERROR(INDIRECT("'"&amp;D26&amp;"'!I7"),0),0)</f>
        <v/>
      </c>
      <c r="I26" s="8">
        <f>IF(D26&lt;&gt;"",IFERROR(INDIRECT("'"&amp;D26&amp;"'!I8"),0),0)</f>
        <v/>
      </c>
      <c r="J26" s="13">
        <f>IF(D26&lt;&gt;"",IFERROR(INDIRECT("'"&amp;D26&amp;"'!I11"),""),"")</f>
        <v/>
      </c>
      <c r="K26" s="13">
        <f>IF(D26&lt;&gt;"",IFERROR(INDIRECT("'"&amp;D26&amp;"'!I12"),""),"")</f>
        <v/>
      </c>
      <c r="L26" s="17" t="inlineStr"/>
    </row>
    <row r="27">
      <c r="A27" s="12" t="n">
        <v>23</v>
      </c>
      <c r="B27" s="17" t="inlineStr"/>
      <c r="C27" s="17" t="inlineStr"/>
      <c r="D27" s="17" t="inlineStr"/>
      <c r="E27" s="8">
        <f>IF(D27&lt;&gt;"",IFERROR(INDIRECT("'"&amp;D27&amp;"'!I4"),0),0)</f>
        <v/>
      </c>
      <c r="F27" s="8">
        <f>IF(D27&lt;&gt;"",IFERROR(INDIRECT("'"&amp;D27&amp;"'!I5"),0),0)</f>
        <v/>
      </c>
      <c r="G27" s="8">
        <f>IF(D27&lt;&gt;"",IFERROR(INDIRECT("'"&amp;D27&amp;"'!I6"),0),E27-F27)</f>
        <v/>
      </c>
      <c r="H27" s="8">
        <f>IF(D27&lt;&gt;"",IFERROR(INDIRECT("'"&amp;D27&amp;"'!I7"),0),0)</f>
        <v/>
      </c>
      <c r="I27" s="8">
        <f>IF(D27&lt;&gt;"",IFERROR(INDIRECT("'"&amp;D27&amp;"'!I8"),0),0)</f>
        <v/>
      </c>
      <c r="J27" s="13">
        <f>IF(D27&lt;&gt;"",IFERROR(INDIRECT("'"&amp;D27&amp;"'!I11"),""),"")</f>
        <v/>
      </c>
      <c r="K27" s="13">
        <f>IF(D27&lt;&gt;"",IFERROR(INDIRECT("'"&amp;D27&amp;"'!I12"),""),"")</f>
        <v/>
      </c>
      <c r="L27" s="17" t="inlineStr"/>
    </row>
    <row r="28">
      <c r="A28" s="12" t="n">
        <v>24</v>
      </c>
      <c r="B28" s="17" t="inlineStr"/>
      <c r="C28" s="17" t="inlineStr"/>
      <c r="D28" s="17" t="inlineStr"/>
      <c r="E28" s="8">
        <f>IF(D28&lt;&gt;"",IFERROR(INDIRECT("'"&amp;D28&amp;"'!I4"),0),0)</f>
        <v/>
      </c>
      <c r="F28" s="8">
        <f>IF(D28&lt;&gt;"",IFERROR(INDIRECT("'"&amp;D28&amp;"'!I5"),0),0)</f>
        <v/>
      </c>
      <c r="G28" s="8">
        <f>IF(D28&lt;&gt;"",IFERROR(INDIRECT("'"&amp;D28&amp;"'!I6"),0),E28-F28)</f>
        <v/>
      </c>
      <c r="H28" s="8">
        <f>IF(D28&lt;&gt;"",IFERROR(INDIRECT("'"&amp;D28&amp;"'!I7"),0),0)</f>
        <v/>
      </c>
      <c r="I28" s="8">
        <f>IF(D28&lt;&gt;"",IFERROR(INDIRECT("'"&amp;D28&amp;"'!I8"),0),0)</f>
        <v/>
      </c>
      <c r="J28" s="13">
        <f>IF(D28&lt;&gt;"",IFERROR(INDIRECT("'"&amp;D28&amp;"'!I11"),""),"")</f>
        <v/>
      </c>
      <c r="K28" s="13">
        <f>IF(D28&lt;&gt;"",IFERROR(INDIRECT("'"&amp;D28&amp;"'!I12"),""),"")</f>
        <v/>
      </c>
      <c r="L28" s="17" t="inlineStr"/>
    </row>
    <row r="29">
      <c r="A29" s="12" t="n">
        <v>25</v>
      </c>
      <c r="B29" s="17" t="inlineStr"/>
      <c r="C29" s="17" t="inlineStr"/>
      <c r="D29" s="17" t="inlineStr"/>
      <c r="E29" s="8">
        <f>IF(D29&lt;&gt;"",IFERROR(INDIRECT("'"&amp;D29&amp;"'!I4"),0),0)</f>
        <v/>
      </c>
      <c r="F29" s="8">
        <f>IF(D29&lt;&gt;"",IFERROR(INDIRECT("'"&amp;D29&amp;"'!I5"),0),0)</f>
        <v/>
      </c>
      <c r="G29" s="8">
        <f>IF(D29&lt;&gt;"",IFERROR(INDIRECT("'"&amp;D29&amp;"'!I6"),0),E29-F29)</f>
        <v/>
      </c>
      <c r="H29" s="8">
        <f>IF(D29&lt;&gt;"",IFERROR(INDIRECT("'"&amp;D29&amp;"'!I7"),0),0)</f>
        <v/>
      </c>
      <c r="I29" s="8">
        <f>IF(D29&lt;&gt;"",IFERROR(INDIRECT("'"&amp;D29&amp;"'!I8"),0),0)</f>
        <v/>
      </c>
      <c r="J29" s="13">
        <f>IF(D29&lt;&gt;"",IFERROR(INDIRECT("'"&amp;D29&amp;"'!I11"),""),"")</f>
        <v/>
      </c>
      <c r="K29" s="13">
        <f>IF(D29&lt;&gt;"",IFERROR(INDIRECT("'"&amp;D29&amp;"'!I12"),""),"")</f>
        <v/>
      </c>
      <c r="L29" s="17" t="inlineStr"/>
    </row>
    <row r="31">
      <c r="A31" s="19" t="inlineStr"/>
      <c r="B31" s="20" t="inlineStr">
        <is>
          <t>TỔNG CỘNG</t>
        </is>
      </c>
      <c r="C31" s="19" t="n"/>
      <c r="D31" s="19" t="n"/>
      <c r="E31" s="21">
        <f>SUM(E5:E29)</f>
        <v/>
      </c>
      <c r="F31" s="21">
        <f>SUM(F5:F29)</f>
        <v/>
      </c>
      <c r="G31" s="21">
        <f>SUM(G5:G29)</f>
        <v/>
      </c>
      <c r="H31" s="21">
        <f>SUM(H5:H29)</f>
        <v/>
      </c>
      <c r="I31" s="21">
        <f>SUM(I5:I29)</f>
        <v/>
      </c>
      <c r="J31" s="19" t="n"/>
      <c r="K31" s="19" t="n"/>
      <c r="L31" s="19" t="n"/>
    </row>
  </sheetData>
  <autoFilter ref="A4:L29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6" customWidth="1" min="4" max="4"/>
    <col width="16" customWidth="1" min="5" max="5"/>
    <col width="16" customWidth="1" min="6" max="6"/>
    <col width="14" customWidth="1" min="7" max="7"/>
    <col width="36" customWidth="1" min="8" max="8"/>
  </cols>
  <sheetData>
    <row r="1" ht="28" customHeight="1">
      <c r="A1" s="1" t="inlineStr">
        <is>
          <t>03 · CÔNG NỢ KHÁCH HÀNG (tổng → Dashboard)</t>
        </is>
      </c>
    </row>
    <row r="2">
      <c r="A2" s="16" t="inlineStr">
        <is>
          <t>Nguồn chính: 02_JOB_AGENCY (tự đồng bộ). Bluescope là 1 dòng trong Agency + file booking riêng. Có thể bổ sung khoản ngoài job ở cuối bảng (vàng).</t>
        </is>
      </c>
    </row>
    <row r="4">
      <c r="A4" s="7" t="inlineStr">
        <is>
          <t>#</t>
        </is>
      </c>
      <c r="B4" s="7" t="inlineStr">
        <is>
          <t>Agency</t>
        </is>
      </c>
      <c r="C4" s="7" t="inlineStr">
        <is>
          <t>Tên job</t>
        </is>
      </c>
      <c r="D4" s="7" t="inlineStr">
        <is>
          <t>Tổng HĐ</t>
        </is>
      </c>
      <c r="E4" s="7" t="inlineStr">
        <is>
          <t>Đã thu</t>
        </is>
      </c>
      <c r="F4" s="7" t="inlineStr">
        <is>
          <t>Còn lại</t>
        </is>
      </c>
      <c r="G4" s="7" t="inlineStr">
        <is>
          <t>Trạng thái thu</t>
        </is>
      </c>
      <c r="H4" s="7" t="inlineStr">
        <is>
          <t>Ghi chú</t>
        </is>
      </c>
    </row>
    <row r="5">
      <c r="A5" s="12" t="n">
        <v>1</v>
      </c>
      <c r="B5" s="13">
        <f>'02_JOB_AGENCY'!B5</f>
        <v/>
      </c>
      <c r="C5" s="13">
        <f>'02_JOB_AGENCY'!C5</f>
        <v/>
      </c>
      <c r="D5" s="8">
        <f>'02_JOB_AGENCY'!E5</f>
        <v/>
      </c>
      <c r="E5" s="8">
        <f>'02_JOB_AGENCY'!F5</f>
        <v/>
      </c>
      <c r="F5" s="8">
        <f>'02_JOB_AGENCY'!G5</f>
        <v/>
      </c>
      <c r="G5" s="13">
        <f>IF(OR(B5="",D5=0),"",IF(E5&gt;=D5,"✅ Đã thu",IF(E5&gt;0,"⚠️ Một phần","🔴 Chưa thu")))</f>
        <v/>
      </c>
      <c r="H5" s="17" t="inlineStr"/>
    </row>
    <row r="6">
      <c r="A6" s="12" t="n">
        <v>2</v>
      </c>
      <c r="B6" s="13">
        <f>'02_JOB_AGENCY'!B6</f>
        <v/>
      </c>
      <c r="C6" s="13">
        <f>'02_JOB_AGENCY'!C6</f>
        <v/>
      </c>
      <c r="D6" s="8">
        <f>'02_JOB_AGENCY'!E6</f>
        <v/>
      </c>
      <c r="E6" s="8">
        <f>'02_JOB_AGENCY'!F6</f>
        <v/>
      </c>
      <c r="F6" s="8">
        <f>'02_JOB_AGENCY'!G6</f>
        <v/>
      </c>
      <c r="G6" s="13">
        <f>IF(OR(B6="",D6=0),"",IF(E6&gt;=D6,"✅ Đã thu",IF(E6&gt;0,"⚠️ Một phần","🔴 Chưa thu")))</f>
        <v/>
      </c>
      <c r="H6" s="17" t="inlineStr"/>
    </row>
    <row r="7">
      <c r="A7" s="12" t="n">
        <v>3</v>
      </c>
      <c r="B7" s="13">
        <f>'02_JOB_AGENCY'!B7</f>
        <v/>
      </c>
      <c r="C7" s="13">
        <f>'02_JOB_AGENCY'!C7</f>
        <v/>
      </c>
      <c r="D7" s="8">
        <f>'02_JOB_AGENCY'!E7</f>
        <v/>
      </c>
      <c r="E7" s="8">
        <f>'02_JOB_AGENCY'!F7</f>
        <v/>
      </c>
      <c r="F7" s="8">
        <f>'02_JOB_AGENCY'!G7</f>
        <v/>
      </c>
      <c r="G7" s="13">
        <f>IF(OR(B7="",D7=0),"",IF(E7&gt;=D7,"✅ Đã thu",IF(E7&gt;0,"⚠️ Một phần","🔴 Chưa thu")))</f>
        <v/>
      </c>
      <c r="H7" s="17" t="inlineStr"/>
    </row>
    <row r="8">
      <c r="A8" s="12" t="n">
        <v>4</v>
      </c>
      <c r="B8" s="13">
        <f>'02_JOB_AGENCY'!B8</f>
        <v/>
      </c>
      <c r="C8" s="13">
        <f>'02_JOB_AGENCY'!C8</f>
        <v/>
      </c>
      <c r="D8" s="8">
        <f>'02_JOB_AGENCY'!E8</f>
        <v/>
      </c>
      <c r="E8" s="8">
        <f>'02_JOB_AGENCY'!F8</f>
        <v/>
      </c>
      <c r="F8" s="8">
        <f>'02_JOB_AGENCY'!G8</f>
        <v/>
      </c>
      <c r="G8" s="13">
        <f>IF(OR(B8="",D8=0),"",IF(E8&gt;=D8,"✅ Đã thu",IF(E8&gt;0,"⚠️ Một phần","🔴 Chưa thu")))</f>
        <v/>
      </c>
      <c r="H8" s="17" t="inlineStr"/>
    </row>
    <row r="9">
      <c r="A9" s="12" t="n">
        <v>5</v>
      </c>
      <c r="B9" s="13">
        <f>'02_JOB_AGENCY'!B9</f>
        <v/>
      </c>
      <c r="C9" s="13">
        <f>'02_JOB_AGENCY'!C9</f>
        <v/>
      </c>
      <c r="D9" s="8">
        <f>'02_JOB_AGENCY'!E9</f>
        <v/>
      </c>
      <c r="E9" s="8">
        <f>'02_JOB_AGENCY'!F9</f>
        <v/>
      </c>
      <c r="F9" s="8">
        <f>'02_JOB_AGENCY'!G9</f>
        <v/>
      </c>
      <c r="G9" s="13">
        <f>IF(OR(B9="",D9=0),"",IF(E9&gt;=D9,"✅ Đã thu",IF(E9&gt;0,"⚠️ Một phần","🔴 Chưa thu")))</f>
        <v/>
      </c>
      <c r="H9" s="17" t="inlineStr"/>
    </row>
    <row r="10">
      <c r="A10" s="12" t="n">
        <v>6</v>
      </c>
      <c r="B10" s="13">
        <f>'02_JOB_AGENCY'!B10</f>
        <v/>
      </c>
      <c r="C10" s="13">
        <f>'02_JOB_AGENCY'!C10</f>
        <v/>
      </c>
      <c r="D10" s="8">
        <f>'02_JOB_AGENCY'!E10</f>
        <v/>
      </c>
      <c r="E10" s="8">
        <f>'02_JOB_AGENCY'!F10</f>
        <v/>
      </c>
      <c r="F10" s="8">
        <f>'02_JOB_AGENCY'!G10</f>
        <v/>
      </c>
      <c r="G10" s="13">
        <f>IF(OR(B10="",D10=0),"",IF(E10&gt;=D10,"✅ Đã thu",IF(E10&gt;0,"⚠️ Một phần","🔴 Chưa thu")))</f>
        <v/>
      </c>
      <c r="H10" s="17" t="inlineStr"/>
    </row>
    <row r="11">
      <c r="A11" s="12" t="n">
        <v>7</v>
      </c>
      <c r="B11" s="13">
        <f>'02_JOB_AGENCY'!B11</f>
        <v/>
      </c>
      <c r="C11" s="13">
        <f>'02_JOB_AGENCY'!C11</f>
        <v/>
      </c>
      <c r="D11" s="8">
        <f>'02_JOB_AGENCY'!E11</f>
        <v/>
      </c>
      <c r="E11" s="8">
        <f>'02_JOB_AGENCY'!F11</f>
        <v/>
      </c>
      <c r="F11" s="8">
        <f>'02_JOB_AGENCY'!G11</f>
        <v/>
      </c>
      <c r="G11" s="13">
        <f>IF(OR(B11="",D11=0),"",IF(E11&gt;=D11,"✅ Đã thu",IF(E11&gt;0,"⚠️ Một phần","🔴 Chưa thu")))</f>
        <v/>
      </c>
      <c r="H11" s="17" t="inlineStr"/>
    </row>
    <row r="12">
      <c r="A12" s="12" t="n">
        <v>8</v>
      </c>
      <c r="B12" s="13">
        <f>'02_JOB_AGENCY'!B12</f>
        <v/>
      </c>
      <c r="C12" s="13">
        <f>'02_JOB_AGENCY'!C12</f>
        <v/>
      </c>
      <c r="D12" s="8">
        <f>'02_JOB_AGENCY'!E12</f>
        <v/>
      </c>
      <c r="E12" s="8">
        <f>'02_JOB_AGENCY'!F12</f>
        <v/>
      </c>
      <c r="F12" s="8">
        <f>'02_JOB_AGENCY'!G12</f>
        <v/>
      </c>
      <c r="G12" s="13">
        <f>IF(OR(B12="",D12=0),"",IF(E12&gt;=D12,"✅ Đã thu",IF(E12&gt;0,"⚠️ Một phần","🔴 Chưa thu")))</f>
        <v/>
      </c>
      <c r="H12" s="17" t="inlineStr"/>
    </row>
    <row r="13">
      <c r="A13" s="12" t="n">
        <v>9</v>
      </c>
      <c r="B13" s="13">
        <f>'02_JOB_AGENCY'!B13</f>
        <v/>
      </c>
      <c r="C13" s="13">
        <f>'02_JOB_AGENCY'!C13</f>
        <v/>
      </c>
      <c r="D13" s="8">
        <f>'02_JOB_AGENCY'!E13</f>
        <v/>
      </c>
      <c r="E13" s="8">
        <f>'02_JOB_AGENCY'!F13</f>
        <v/>
      </c>
      <c r="F13" s="8">
        <f>'02_JOB_AGENCY'!G13</f>
        <v/>
      </c>
      <c r="G13" s="13">
        <f>IF(OR(B13="",D13=0),"",IF(E13&gt;=D13,"✅ Đã thu",IF(E13&gt;0,"⚠️ Một phần","🔴 Chưa thu")))</f>
        <v/>
      </c>
      <c r="H13" s="17" t="inlineStr"/>
    </row>
    <row r="14">
      <c r="A14" s="12" t="n">
        <v>10</v>
      </c>
      <c r="B14" s="13">
        <f>'02_JOB_AGENCY'!B14</f>
        <v/>
      </c>
      <c r="C14" s="13">
        <f>'02_JOB_AGENCY'!C14</f>
        <v/>
      </c>
      <c r="D14" s="8">
        <f>'02_JOB_AGENCY'!E14</f>
        <v/>
      </c>
      <c r="E14" s="8">
        <f>'02_JOB_AGENCY'!F14</f>
        <v/>
      </c>
      <c r="F14" s="8">
        <f>'02_JOB_AGENCY'!G14</f>
        <v/>
      </c>
      <c r="G14" s="13">
        <f>IF(OR(B14="",D14=0),"",IF(E14&gt;=D14,"✅ Đã thu",IF(E14&gt;0,"⚠️ Một phần","🔴 Chưa thu")))</f>
        <v/>
      </c>
      <c r="H14" s="17" t="inlineStr"/>
    </row>
    <row r="15">
      <c r="A15" s="12" t="n">
        <v>11</v>
      </c>
      <c r="B15" s="13">
        <f>'02_JOB_AGENCY'!B15</f>
        <v/>
      </c>
      <c r="C15" s="13">
        <f>'02_JOB_AGENCY'!C15</f>
        <v/>
      </c>
      <c r="D15" s="8">
        <f>'02_JOB_AGENCY'!E15</f>
        <v/>
      </c>
      <c r="E15" s="8">
        <f>'02_JOB_AGENCY'!F15</f>
        <v/>
      </c>
      <c r="F15" s="8">
        <f>'02_JOB_AGENCY'!G15</f>
        <v/>
      </c>
      <c r="G15" s="13">
        <f>IF(OR(B15="",D15=0),"",IF(E15&gt;=D15,"✅ Đã thu",IF(E15&gt;0,"⚠️ Một phần","🔴 Chưa thu")))</f>
        <v/>
      </c>
      <c r="H15" s="17" t="inlineStr"/>
    </row>
    <row r="16">
      <c r="A16" s="12" t="n">
        <v>12</v>
      </c>
      <c r="B16" s="13">
        <f>'02_JOB_AGENCY'!B16</f>
        <v/>
      </c>
      <c r="C16" s="13">
        <f>'02_JOB_AGENCY'!C16</f>
        <v/>
      </c>
      <c r="D16" s="8">
        <f>'02_JOB_AGENCY'!E16</f>
        <v/>
      </c>
      <c r="E16" s="8">
        <f>'02_JOB_AGENCY'!F16</f>
        <v/>
      </c>
      <c r="F16" s="8">
        <f>'02_JOB_AGENCY'!G16</f>
        <v/>
      </c>
      <c r="G16" s="13">
        <f>IF(OR(B16="",D16=0),"",IF(E16&gt;=D16,"✅ Đã thu",IF(E16&gt;0,"⚠️ Một phần","🔴 Chưa thu")))</f>
        <v/>
      </c>
      <c r="H16" s="17" t="inlineStr"/>
    </row>
    <row r="17">
      <c r="A17" s="12" t="n">
        <v>13</v>
      </c>
      <c r="B17" s="13">
        <f>'02_JOB_AGENCY'!B17</f>
        <v/>
      </c>
      <c r="C17" s="13">
        <f>'02_JOB_AGENCY'!C17</f>
        <v/>
      </c>
      <c r="D17" s="8">
        <f>'02_JOB_AGENCY'!E17</f>
        <v/>
      </c>
      <c r="E17" s="8">
        <f>'02_JOB_AGENCY'!F17</f>
        <v/>
      </c>
      <c r="F17" s="8">
        <f>'02_JOB_AGENCY'!G17</f>
        <v/>
      </c>
      <c r="G17" s="13">
        <f>IF(OR(B17="",D17=0),"",IF(E17&gt;=D17,"✅ Đã thu",IF(E17&gt;0,"⚠️ Một phần","🔴 Chưa thu")))</f>
        <v/>
      </c>
      <c r="H17" s="17" t="inlineStr"/>
    </row>
    <row r="18">
      <c r="A18" s="12" t="n">
        <v>14</v>
      </c>
      <c r="B18" s="13">
        <f>'02_JOB_AGENCY'!B18</f>
        <v/>
      </c>
      <c r="C18" s="13">
        <f>'02_JOB_AGENCY'!C18</f>
        <v/>
      </c>
      <c r="D18" s="8">
        <f>'02_JOB_AGENCY'!E18</f>
        <v/>
      </c>
      <c r="E18" s="8">
        <f>'02_JOB_AGENCY'!F18</f>
        <v/>
      </c>
      <c r="F18" s="8">
        <f>'02_JOB_AGENCY'!G18</f>
        <v/>
      </c>
      <c r="G18" s="13">
        <f>IF(OR(B18="",D18=0),"",IF(E18&gt;=D18,"✅ Đã thu",IF(E18&gt;0,"⚠️ Một phần","🔴 Chưa thu")))</f>
        <v/>
      </c>
      <c r="H18" s="17" t="inlineStr"/>
    </row>
    <row r="19">
      <c r="A19" s="12" t="n">
        <v>15</v>
      </c>
      <c r="B19" s="13">
        <f>'02_JOB_AGENCY'!B19</f>
        <v/>
      </c>
      <c r="C19" s="13">
        <f>'02_JOB_AGENCY'!C19</f>
        <v/>
      </c>
      <c r="D19" s="8">
        <f>'02_JOB_AGENCY'!E19</f>
        <v/>
      </c>
      <c r="E19" s="8">
        <f>'02_JOB_AGENCY'!F19</f>
        <v/>
      </c>
      <c r="F19" s="8">
        <f>'02_JOB_AGENCY'!G19</f>
        <v/>
      </c>
      <c r="G19" s="13">
        <f>IF(OR(B19="",D19=0),"",IF(E19&gt;=D19,"✅ Đã thu",IF(E19&gt;0,"⚠️ Một phần","🔴 Chưa thu")))</f>
        <v/>
      </c>
      <c r="H19" s="17" t="inlineStr"/>
    </row>
    <row r="20">
      <c r="A20" s="12" t="n">
        <v>16</v>
      </c>
      <c r="B20" s="13">
        <f>'02_JOB_AGENCY'!B20</f>
        <v/>
      </c>
      <c r="C20" s="13">
        <f>'02_JOB_AGENCY'!C20</f>
        <v/>
      </c>
      <c r="D20" s="8">
        <f>'02_JOB_AGENCY'!E20</f>
        <v/>
      </c>
      <c r="E20" s="8">
        <f>'02_JOB_AGENCY'!F20</f>
        <v/>
      </c>
      <c r="F20" s="8">
        <f>'02_JOB_AGENCY'!G20</f>
        <v/>
      </c>
      <c r="G20" s="13">
        <f>IF(OR(B20="",D20=0),"",IF(E20&gt;=D20,"✅ Đã thu",IF(E20&gt;0,"⚠️ Một phần","🔴 Chưa thu")))</f>
        <v/>
      </c>
      <c r="H20" s="17" t="inlineStr"/>
    </row>
    <row r="21">
      <c r="A21" s="12" t="n">
        <v>17</v>
      </c>
      <c r="B21" s="13">
        <f>'02_JOB_AGENCY'!B21</f>
        <v/>
      </c>
      <c r="C21" s="13">
        <f>'02_JOB_AGENCY'!C21</f>
        <v/>
      </c>
      <c r="D21" s="8">
        <f>'02_JOB_AGENCY'!E21</f>
        <v/>
      </c>
      <c r="E21" s="8">
        <f>'02_JOB_AGENCY'!F21</f>
        <v/>
      </c>
      <c r="F21" s="8">
        <f>'02_JOB_AGENCY'!G21</f>
        <v/>
      </c>
      <c r="G21" s="13">
        <f>IF(OR(B21="",D21=0),"",IF(E21&gt;=D21,"✅ Đã thu",IF(E21&gt;0,"⚠️ Một phần","🔴 Chưa thu")))</f>
        <v/>
      </c>
      <c r="H21" s="17" t="inlineStr"/>
    </row>
    <row r="22">
      <c r="A22" s="12" t="n">
        <v>18</v>
      </c>
      <c r="B22" s="13">
        <f>'02_JOB_AGENCY'!B22</f>
        <v/>
      </c>
      <c r="C22" s="13">
        <f>'02_JOB_AGENCY'!C22</f>
        <v/>
      </c>
      <c r="D22" s="8">
        <f>'02_JOB_AGENCY'!E22</f>
        <v/>
      </c>
      <c r="E22" s="8">
        <f>'02_JOB_AGENCY'!F22</f>
        <v/>
      </c>
      <c r="F22" s="8">
        <f>'02_JOB_AGENCY'!G22</f>
        <v/>
      </c>
      <c r="G22" s="13">
        <f>IF(OR(B22="",D22=0),"",IF(E22&gt;=D22,"✅ Đã thu",IF(E22&gt;0,"⚠️ Một phần","🔴 Chưa thu")))</f>
        <v/>
      </c>
      <c r="H22" s="17" t="inlineStr"/>
    </row>
    <row r="23">
      <c r="A23" s="12" t="n">
        <v>19</v>
      </c>
      <c r="B23" s="13">
        <f>'02_JOB_AGENCY'!B23</f>
        <v/>
      </c>
      <c r="C23" s="13">
        <f>'02_JOB_AGENCY'!C23</f>
        <v/>
      </c>
      <c r="D23" s="8">
        <f>'02_JOB_AGENCY'!E23</f>
        <v/>
      </c>
      <c r="E23" s="8">
        <f>'02_JOB_AGENCY'!F23</f>
        <v/>
      </c>
      <c r="F23" s="8">
        <f>'02_JOB_AGENCY'!G23</f>
        <v/>
      </c>
      <c r="G23" s="13">
        <f>IF(OR(B23="",D23=0),"",IF(E23&gt;=D23,"✅ Đã thu",IF(E23&gt;0,"⚠️ Một phần","🔴 Chưa thu")))</f>
        <v/>
      </c>
      <c r="H23" s="17" t="inlineStr"/>
    </row>
    <row r="24">
      <c r="A24" s="12" t="n">
        <v>20</v>
      </c>
      <c r="B24" s="13">
        <f>'02_JOB_AGENCY'!B24</f>
        <v/>
      </c>
      <c r="C24" s="13">
        <f>'02_JOB_AGENCY'!C24</f>
        <v/>
      </c>
      <c r="D24" s="8">
        <f>'02_JOB_AGENCY'!E24</f>
        <v/>
      </c>
      <c r="E24" s="8">
        <f>'02_JOB_AGENCY'!F24</f>
        <v/>
      </c>
      <c r="F24" s="8">
        <f>'02_JOB_AGENCY'!G24</f>
        <v/>
      </c>
      <c r="G24" s="13">
        <f>IF(OR(B24="",D24=0),"",IF(E24&gt;=D24,"✅ Đã thu",IF(E24&gt;0,"⚠️ Một phần","🔴 Chưa thu")))</f>
        <v/>
      </c>
      <c r="H24" s="17" t="inlineStr"/>
    </row>
    <row r="25">
      <c r="A25" s="12" t="n">
        <v>21</v>
      </c>
      <c r="B25" s="13">
        <f>'02_JOB_AGENCY'!B25</f>
        <v/>
      </c>
      <c r="C25" s="13">
        <f>'02_JOB_AGENCY'!C25</f>
        <v/>
      </c>
      <c r="D25" s="8">
        <f>'02_JOB_AGENCY'!E25</f>
        <v/>
      </c>
      <c r="E25" s="8">
        <f>'02_JOB_AGENCY'!F25</f>
        <v/>
      </c>
      <c r="F25" s="8">
        <f>'02_JOB_AGENCY'!G25</f>
        <v/>
      </c>
      <c r="G25" s="13">
        <f>IF(OR(B25="",D25=0),"",IF(E25&gt;=D25,"✅ Đã thu",IF(E25&gt;0,"⚠️ Một phần","🔴 Chưa thu")))</f>
        <v/>
      </c>
      <c r="H25" s="17" t="inlineStr"/>
    </row>
    <row r="26">
      <c r="A26" s="12" t="n">
        <v>22</v>
      </c>
      <c r="B26" s="13">
        <f>'02_JOB_AGENCY'!B26</f>
        <v/>
      </c>
      <c r="C26" s="13">
        <f>'02_JOB_AGENCY'!C26</f>
        <v/>
      </c>
      <c r="D26" s="8">
        <f>'02_JOB_AGENCY'!E26</f>
        <v/>
      </c>
      <c r="E26" s="8">
        <f>'02_JOB_AGENCY'!F26</f>
        <v/>
      </c>
      <c r="F26" s="8">
        <f>'02_JOB_AGENCY'!G26</f>
        <v/>
      </c>
      <c r="G26" s="13">
        <f>IF(OR(B26="",D26=0),"",IF(E26&gt;=D26,"✅ Đã thu",IF(E26&gt;0,"⚠️ Một phần","🔴 Chưa thu")))</f>
        <v/>
      </c>
      <c r="H26" s="17" t="inlineStr"/>
    </row>
    <row r="27">
      <c r="A27" s="12" t="n">
        <v>23</v>
      </c>
      <c r="B27" s="13">
        <f>'02_JOB_AGENCY'!B27</f>
        <v/>
      </c>
      <c r="C27" s="13">
        <f>'02_JOB_AGENCY'!C27</f>
        <v/>
      </c>
      <c r="D27" s="8">
        <f>'02_JOB_AGENCY'!E27</f>
        <v/>
      </c>
      <c r="E27" s="8">
        <f>'02_JOB_AGENCY'!F27</f>
        <v/>
      </c>
      <c r="F27" s="8">
        <f>'02_JOB_AGENCY'!G27</f>
        <v/>
      </c>
      <c r="G27" s="13">
        <f>IF(OR(B27="",D27=0),"",IF(E27&gt;=D27,"✅ Đã thu",IF(E27&gt;0,"⚠️ Một phần","🔴 Chưa thu")))</f>
        <v/>
      </c>
      <c r="H27" s="17" t="inlineStr"/>
    </row>
    <row r="28">
      <c r="A28" s="12" t="n">
        <v>24</v>
      </c>
      <c r="B28" s="13">
        <f>'02_JOB_AGENCY'!B28</f>
        <v/>
      </c>
      <c r="C28" s="13">
        <f>'02_JOB_AGENCY'!C28</f>
        <v/>
      </c>
      <c r="D28" s="8">
        <f>'02_JOB_AGENCY'!E28</f>
        <v/>
      </c>
      <c r="E28" s="8">
        <f>'02_JOB_AGENCY'!F28</f>
        <v/>
      </c>
      <c r="F28" s="8">
        <f>'02_JOB_AGENCY'!G28</f>
        <v/>
      </c>
      <c r="G28" s="13">
        <f>IF(OR(B28="",D28=0),"",IF(E28&gt;=D28,"✅ Đã thu",IF(E28&gt;0,"⚠️ Một phần","🔴 Chưa thu")))</f>
        <v/>
      </c>
      <c r="H28" s="17" t="inlineStr"/>
    </row>
    <row r="29">
      <c r="A29" s="12" t="n">
        <v>25</v>
      </c>
      <c r="B29" s="13">
        <f>'02_JOB_AGENCY'!B29</f>
        <v/>
      </c>
      <c r="C29" s="13">
        <f>'02_JOB_AGENCY'!C29</f>
        <v/>
      </c>
      <c r="D29" s="8">
        <f>'02_JOB_AGENCY'!E29</f>
        <v/>
      </c>
      <c r="E29" s="8">
        <f>'02_JOB_AGENCY'!F29</f>
        <v/>
      </c>
      <c r="F29" s="8">
        <f>'02_JOB_AGENCY'!G29</f>
        <v/>
      </c>
      <c r="G29" s="13">
        <f>IF(OR(B29="",D29=0),"",IF(E29&gt;=D29,"✅ Đã thu",IF(E29&gt;0,"⚠️ Một phần","🔴 Chưa thu")))</f>
        <v/>
      </c>
      <c r="H29" s="17" t="inlineStr"/>
    </row>
    <row r="31">
      <c r="B31" s="3" t="inlineStr">
        <is>
          <t>— Khoản ngoài job (nhập tay) —</t>
        </is>
      </c>
    </row>
    <row r="32">
      <c r="A32" s="12" t="n">
        <v>26</v>
      </c>
      <c r="B32" s="17" t="inlineStr"/>
      <c r="C32" s="17" t="inlineStr"/>
      <c r="D32" s="18" t="n">
        <v>0</v>
      </c>
      <c r="E32" s="18" t="n">
        <v>0</v>
      </c>
      <c r="F32" s="8">
        <f>D32-E32</f>
        <v/>
      </c>
      <c r="G32" s="13">
        <f>IF(D32=0,"",IF(E32&gt;=D32,"✅ Đã thu",IF(E32&gt;0,"⚠️ Một phần","🔴 Chưa thu")))</f>
        <v/>
      </c>
      <c r="H32" s="17" t="inlineStr"/>
    </row>
    <row r="33">
      <c r="A33" s="12" t="n">
        <v>27</v>
      </c>
      <c r="B33" s="17" t="inlineStr"/>
      <c r="C33" s="17" t="inlineStr"/>
      <c r="D33" s="18" t="n">
        <v>0</v>
      </c>
      <c r="E33" s="18" t="n">
        <v>0</v>
      </c>
      <c r="F33" s="8">
        <f>D33-E33</f>
        <v/>
      </c>
      <c r="G33" s="13">
        <f>IF(D33=0,"",IF(E33&gt;=D33,"✅ Đã thu",IF(E33&gt;0,"⚠️ Một phần","🔴 Chưa thu")))</f>
        <v/>
      </c>
      <c r="H33" s="17" t="inlineStr"/>
    </row>
    <row r="34">
      <c r="A34" s="12" t="n">
        <v>28</v>
      </c>
      <c r="B34" s="17" t="inlineStr"/>
      <c r="C34" s="17" t="inlineStr"/>
      <c r="D34" s="18" t="n">
        <v>0</v>
      </c>
      <c r="E34" s="18" t="n">
        <v>0</v>
      </c>
      <c r="F34" s="8">
        <f>D34-E34</f>
        <v/>
      </c>
      <c r="G34" s="13">
        <f>IF(D34=0,"",IF(E34&gt;=D34,"✅ Đã thu",IF(E34&gt;0,"⚠️ Một phần","🔴 Chưa thu")))</f>
        <v/>
      </c>
      <c r="H34" s="17" t="inlineStr"/>
    </row>
    <row r="35">
      <c r="A35" s="12" t="n">
        <v>29</v>
      </c>
      <c r="B35" s="17" t="inlineStr"/>
      <c r="C35" s="17" t="inlineStr"/>
      <c r="D35" s="18" t="n">
        <v>0</v>
      </c>
      <c r="E35" s="18" t="n">
        <v>0</v>
      </c>
      <c r="F35" s="8">
        <f>D35-E35</f>
        <v/>
      </c>
      <c r="G35" s="13">
        <f>IF(D35=0,"",IF(E35&gt;=D35,"✅ Đã thu",IF(E35&gt;0,"⚠️ Một phần","🔴 Chưa thu")))</f>
        <v/>
      </c>
      <c r="H35" s="17" t="inlineStr"/>
    </row>
    <row r="36">
      <c r="A36" s="12" t="n">
        <v>30</v>
      </c>
      <c r="B36" s="17" t="inlineStr"/>
      <c r="C36" s="17" t="inlineStr"/>
      <c r="D36" s="18" t="n">
        <v>0</v>
      </c>
      <c r="E36" s="18" t="n">
        <v>0</v>
      </c>
      <c r="F36" s="8">
        <f>D36-E36</f>
        <v/>
      </c>
      <c r="G36" s="13">
        <f>IF(D36=0,"",IF(E36&gt;=D36,"✅ Đã thu",IF(E36&gt;0,"⚠️ Một phần","🔴 Chưa thu")))</f>
        <v/>
      </c>
      <c r="H36" s="17" t="inlineStr"/>
    </row>
    <row r="38">
      <c r="A38" s="19" t="n"/>
      <c r="B38" s="20" t="inlineStr">
        <is>
          <t>TỔNG CÔNG NỢ</t>
        </is>
      </c>
      <c r="C38" s="19" t="n"/>
      <c r="D38" s="21">
        <f>SUM(D5:D36)</f>
        <v/>
      </c>
      <c r="E38" s="21">
        <f>SUM(E5:E36)</f>
        <v/>
      </c>
      <c r="F38" s="21">
        <f>SUM(F5:F36)</f>
        <v/>
      </c>
      <c r="G38" s="19" t="n"/>
      <c r="H38" s="19" t="n"/>
    </row>
    <row r="40">
      <c r="B40" s="2" t="inlineStr">
        <is>
          <t>→ Dashboard đọc F38 (Tổng còn lại) và D38 (Tổng HĐ).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24" customWidth="1" min="7" max="7"/>
  </cols>
  <sheetData>
    <row r="1" ht="28" customHeight="1">
      <c r="A1" s="1" t="inlineStr">
        <is>
          <t>04 · NỢ CÁ NHÂN &amp; LỊCH TRẢ</t>
        </is>
      </c>
      <c r="I1" t="inlineStr">
        <is>
          <t>EXPORT</t>
        </is>
      </c>
    </row>
    <row r="2">
      <c r="I2" t="inlineStr">
        <is>
          <t>No_MOM</t>
        </is>
      </c>
      <c r="J2" s="8">
        <f>F5</f>
        <v/>
      </c>
    </row>
    <row r="3">
      <c r="A3" s="6" t="inlineStr">
        <is>
          <t>1. NỢ MOM (trả cố định / tháng)</t>
        </is>
      </c>
      <c r="I3" t="inlineStr">
        <is>
          <t>No_Tri</t>
        </is>
      </c>
      <c r="J3" s="8">
        <f>F35</f>
        <v/>
      </c>
    </row>
    <row r="4">
      <c r="A4" t="inlineStr">
        <is>
          <t>Nợ gốc</t>
        </is>
      </c>
      <c r="B4" s="8">
        <f>'99_CAU_HINH'!C7</f>
        <v/>
      </c>
      <c r="C4" t="inlineStr">
        <is>
          <t>Trả/tháng</t>
        </is>
      </c>
      <c r="D4" s="8">
        <f>'99_CAU_HINH'!C8</f>
        <v/>
      </c>
      <c r="E4" t="inlineStr">
        <is>
          <t>Số tháng đã trả</t>
        </is>
      </c>
      <c r="F4" s="18" t="n">
        <v>0</v>
      </c>
    </row>
    <row r="5">
      <c r="A5" t="inlineStr">
        <is>
          <t>Nợ MOM còn lại</t>
        </is>
      </c>
      <c r="F5" s="8">
        <f>B4-(D4*F4)</f>
        <v/>
      </c>
      <c r="G5" s="2" t="inlineStr">
        <is>
          <t>← Cập nhật F4 khi trả</t>
        </is>
      </c>
    </row>
    <row r="7">
      <c r="A7" s="7" t="inlineStr">
        <is>
          <t>Tháng</t>
        </is>
      </c>
      <c r="B7" s="7" t="inlineStr">
        <is>
          <t>Kỳ</t>
        </is>
      </c>
      <c r="C7" s="7" t="inlineStr">
        <is>
          <t>Số tiền trả</t>
        </is>
      </c>
      <c r="D7" s="7" t="inlineStr">
        <is>
          <t>Ngày trả</t>
        </is>
      </c>
      <c r="E7" s="7" t="inlineStr">
        <is>
          <t>Đã trả?</t>
        </is>
      </c>
      <c r="F7" s="7" t="inlineStr">
        <is>
          <t>Nợ còn lại</t>
        </is>
      </c>
      <c r="G7" s="7" t="inlineStr">
        <is>
          <t>Ghi chú</t>
        </is>
      </c>
    </row>
    <row r="8">
      <c r="A8" s="12" t="n">
        <v>1</v>
      </c>
      <c r="B8" s="12" t="inlineStr">
        <is>
          <t>T7/2026</t>
        </is>
      </c>
      <c r="C8" s="8">
        <f>$D$4</f>
        <v/>
      </c>
      <c r="D8" s="17" t="inlineStr"/>
      <c r="E8" s="17" t="inlineStr"/>
      <c r="F8" s="8">
        <f>$B$4-C8</f>
        <v/>
      </c>
      <c r="G8" s="17" t="inlineStr"/>
    </row>
    <row r="9">
      <c r="A9" s="12" t="n">
        <v>2</v>
      </c>
      <c r="B9" s="12" t="inlineStr">
        <is>
          <t>T8/2026</t>
        </is>
      </c>
      <c r="C9" s="8">
        <f>$D$4</f>
        <v/>
      </c>
      <c r="D9" s="17" t="inlineStr"/>
      <c r="E9" s="17" t="inlineStr"/>
      <c r="F9" s="8">
        <f>F8-C9</f>
        <v/>
      </c>
      <c r="G9" s="17" t="inlineStr"/>
    </row>
    <row r="10">
      <c r="A10" s="12" t="n">
        <v>3</v>
      </c>
      <c r="B10" s="12" t="inlineStr">
        <is>
          <t>T9/2026</t>
        </is>
      </c>
      <c r="C10" s="8">
        <f>$D$4</f>
        <v/>
      </c>
      <c r="D10" s="17" t="inlineStr"/>
      <c r="E10" s="17" t="inlineStr"/>
      <c r="F10" s="8">
        <f>F9-C10</f>
        <v/>
      </c>
      <c r="G10" s="17" t="inlineStr"/>
    </row>
    <row r="11">
      <c r="A11" s="12" t="n">
        <v>4</v>
      </c>
      <c r="B11" s="12" t="inlineStr">
        <is>
          <t>T10/2026</t>
        </is>
      </c>
      <c r="C11" s="8">
        <f>$D$4</f>
        <v/>
      </c>
      <c r="D11" s="17" t="inlineStr"/>
      <c r="E11" s="17" t="inlineStr"/>
      <c r="F11" s="8">
        <f>F10-C11</f>
        <v/>
      </c>
      <c r="G11" s="17" t="inlineStr"/>
    </row>
    <row r="12">
      <c r="A12" s="12" t="n">
        <v>5</v>
      </c>
      <c r="B12" s="12" t="inlineStr">
        <is>
          <t>T11/2026</t>
        </is>
      </c>
      <c r="C12" s="8">
        <f>$D$4</f>
        <v/>
      </c>
      <c r="D12" s="17" t="inlineStr"/>
      <c r="E12" s="17" t="inlineStr"/>
      <c r="F12" s="8">
        <f>F11-C12</f>
        <v/>
      </c>
      <c r="G12" s="17" t="inlineStr"/>
    </row>
    <row r="13">
      <c r="A13" s="12" t="n">
        <v>6</v>
      </c>
      <c r="B13" s="12" t="inlineStr">
        <is>
          <t>T12/2026</t>
        </is>
      </c>
      <c r="C13" s="8">
        <f>$D$4</f>
        <v/>
      </c>
      <c r="D13" s="17" t="inlineStr"/>
      <c r="E13" s="17" t="inlineStr"/>
      <c r="F13" s="8">
        <f>F12-C13</f>
        <v/>
      </c>
      <c r="G13" s="17" t="inlineStr"/>
    </row>
    <row r="14">
      <c r="A14" s="12" t="n">
        <v>7</v>
      </c>
      <c r="B14" s="12" t="inlineStr">
        <is>
          <t>T1/2027</t>
        </is>
      </c>
      <c r="C14" s="8">
        <f>$D$4</f>
        <v/>
      </c>
      <c r="D14" s="17" t="inlineStr"/>
      <c r="E14" s="17" t="inlineStr"/>
      <c r="F14" s="8">
        <f>F13-C14</f>
        <v/>
      </c>
      <c r="G14" s="17" t="inlineStr"/>
    </row>
    <row r="15">
      <c r="A15" s="12" t="n">
        <v>8</v>
      </c>
      <c r="B15" s="12" t="inlineStr">
        <is>
          <t>T2/2027</t>
        </is>
      </c>
      <c r="C15" s="8">
        <f>$D$4</f>
        <v/>
      </c>
      <c r="D15" s="17" t="inlineStr"/>
      <c r="E15" s="17" t="inlineStr"/>
      <c r="F15" s="8">
        <f>F14-C15</f>
        <v/>
      </c>
      <c r="G15" s="17" t="inlineStr"/>
    </row>
    <row r="16">
      <c r="A16" s="12" t="n">
        <v>9</v>
      </c>
      <c r="B16" s="12" t="inlineStr">
        <is>
          <t>T3/2027</t>
        </is>
      </c>
      <c r="C16" s="8">
        <f>$D$4</f>
        <v/>
      </c>
      <c r="D16" s="17" t="inlineStr"/>
      <c r="E16" s="17" t="inlineStr"/>
      <c r="F16" s="8">
        <f>F15-C16</f>
        <v/>
      </c>
      <c r="G16" s="17" t="inlineStr"/>
    </row>
    <row r="17">
      <c r="A17" s="12" t="n">
        <v>10</v>
      </c>
      <c r="B17" s="12" t="inlineStr">
        <is>
          <t>T4/2027</t>
        </is>
      </c>
      <c r="C17" s="8">
        <f>$D$4</f>
        <v/>
      </c>
      <c r="D17" s="17" t="inlineStr"/>
      <c r="E17" s="17" t="inlineStr"/>
      <c r="F17" s="8">
        <f>F16-C17</f>
        <v/>
      </c>
      <c r="G17" s="17" t="inlineStr"/>
    </row>
    <row r="18">
      <c r="A18" s="12" t="n">
        <v>11</v>
      </c>
      <c r="B18" s="12" t="inlineStr">
        <is>
          <t>T5/2027</t>
        </is>
      </c>
      <c r="C18" s="8">
        <f>$D$4</f>
        <v/>
      </c>
      <c r="D18" s="17" t="inlineStr"/>
      <c r="E18" s="17" t="inlineStr"/>
      <c r="F18" s="8">
        <f>F17-C18</f>
        <v/>
      </c>
      <c r="G18" s="17" t="inlineStr"/>
    </row>
    <row r="19">
      <c r="A19" s="12" t="n">
        <v>12</v>
      </c>
      <c r="B19" s="12" t="inlineStr">
        <is>
          <t>T6/2027</t>
        </is>
      </c>
      <c r="C19" s="8">
        <f>$D$4</f>
        <v/>
      </c>
      <c r="D19" s="17" t="inlineStr"/>
      <c r="E19" s="17" t="inlineStr"/>
      <c r="F19" s="8">
        <f>F18-C19</f>
        <v/>
      </c>
      <c r="G19" s="17" t="inlineStr"/>
    </row>
    <row r="20">
      <c r="A20" s="12" t="n">
        <v>13</v>
      </c>
      <c r="B20" s="12" t="inlineStr">
        <is>
          <t>T7/2027</t>
        </is>
      </c>
      <c r="C20" s="8">
        <f>$D$4</f>
        <v/>
      </c>
      <c r="D20" s="17" t="inlineStr"/>
      <c r="E20" s="17" t="inlineStr"/>
      <c r="F20" s="8">
        <f>F19-C20</f>
        <v/>
      </c>
      <c r="G20" s="17" t="inlineStr"/>
    </row>
    <row r="21">
      <c r="A21" s="12" t="n">
        <v>14</v>
      </c>
      <c r="B21" s="12" t="inlineStr">
        <is>
          <t>T8/2027</t>
        </is>
      </c>
      <c r="C21" s="8">
        <f>$D$4</f>
        <v/>
      </c>
      <c r="D21" s="17" t="inlineStr"/>
      <c r="E21" s="17" t="inlineStr"/>
      <c r="F21" s="8">
        <f>F20-C21</f>
        <v/>
      </c>
      <c r="G21" s="17" t="inlineStr"/>
    </row>
    <row r="22">
      <c r="A22" s="12" t="n">
        <v>15</v>
      </c>
      <c r="B22" s="12" t="inlineStr">
        <is>
          <t>T9/2027</t>
        </is>
      </c>
      <c r="C22" s="8">
        <f>$D$4</f>
        <v/>
      </c>
      <c r="D22" s="17" t="inlineStr"/>
      <c r="E22" s="17" t="inlineStr"/>
      <c r="F22" s="8">
        <f>F21-C22</f>
        <v/>
      </c>
      <c r="G22" s="17" t="inlineStr"/>
    </row>
    <row r="23">
      <c r="A23" s="12" t="n">
        <v>16</v>
      </c>
      <c r="B23" s="12" t="inlineStr">
        <is>
          <t>T10/2027</t>
        </is>
      </c>
      <c r="C23" s="8">
        <f>$D$4</f>
        <v/>
      </c>
      <c r="D23" s="17" t="inlineStr"/>
      <c r="E23" s="17" t="inlineStr"/>
      <c r="F23" s="8">
        <f>F22-C23</f>
        <v/>
      </c>
      <c r="G23" s="17" t="inlineStr"/>
    </row>
    <row r="24">
      <c r="A24" s="12" t="n">
        <v>17</v>
      </c>
      <c r="B24" s="12" t="inlineStr">
        <is>
          <t>T11/2027</t>
        </is>
      </c>
      <c r="C24" s="8">
        <f>$D$4</f>
        <v/>
      </c>
      <c r="D24" s="17" t="inlineStr"/>
      <c r="E24" s="17" t="inlineStr"/>
      <c r="F24" s="8">
        <f>F23-C24</f>
        <v/>
      </c>
      <c r="G24" s="17" t="inlineStr"/>
    </row>
    <row r="25">
      <c r="A25" s="12" t="n">
        <v>18</v>
      </c>
      <c r="B25" s="12" t="inlineStr">
        <is>
          <t>T12/2027</t>
        </is>
      </c>
      <c r="C25" s="8">
        <f>$D$4</f>
        <v/>
      </c>
      <c r="D25" s="17" t="inlineStr"/>
      <c r="E25" s="17" t="inlineStr"/>
      <c r="F25" s="8">
        <f>F24-C25</f>
        <v/>
      </c>
      <c r="G25" s="17" t="inlineStr"/>
    </row>
    <row r="26">
      <c r="A26" s="12" t="n">
        <v>19</v>
      </c>
      <c r="B26" s="12" t="inlineStr">
        <is>
          <t>T1/2028</t>
        </is>
      </c>
      <c r="C26" s="8">
        <f>$D$4</f>
        <v/>
      </c>
      <c r="D26" s="17" t="inlineStr"/>
      <c r="E26" s="17" t="inlineStr"/>
      <c r="F26" s="8">
        <f>F25-C26</f>
        <v/>
      </c>
      <c r="G26" s="17" t="inlineStr"/>
    </row>
    <row r="27">
      <c r="A27" s="12" t="n">
        <v>20</v>
      </c>
      <c r="B27" s="12" t="inlineStr">
        <is>
          <t>T2/2028</t>
        </is>
      </c>
      <c r="C27" s="8">
        <f>$D$4</f>
        <v/>
      </c>
      <c r="D27" s="17" t="inlineStr"/>
      <c r="E27" s="17" t="inlineStr"/>
      <c r="F27" s="8">
        <f>F26-C27</f>
        <v/>
      </c>
      <c r="G27" s="17" t="inlineStr"/>
    </row>
    <row r="28">
      <c r="A28" s="12" t="n">
        <v>21</v>
      </c>
      <c r="B28" s="12" t="inlineStr">
        <is>
          <t>T3/2028</t>
        </is>
      </c>
      <c r="C28" s="8">
        <f>$D$4</f>
        <v/>
      </c>
      <c r="D28" s="17" t="inlineStr"/>
      <c r="E28" s="17" t="inlineStr"/>
      <c r="F28" s="8">
        <f>F27-C28</f>
        <v/>
      </c>
      <c r="G28" s="17" t="inlineStr"/>
    </row>
    <row r="29">
      <c r="A29" s="12" t="n">
        <v>22</v>
      </c>
      <c r="B29" s="12" t="inlineStr">
        <is>
          <t>T4/2028</t>
        </is>
      </c>
      <c r="C29" s="8">
        <f>$D$4</f>
        <v/>
      </c>
      <c r="D29" s="17" t="inlineStr"/>
      <c r="E29" s="17" t="inlineStr"/>
      <c r="F29" s="8">
        <f>F28-C29</f>
        <v/>
      </c>
      <c r="G29" s="17" t="inlineStr"/>
    </row>
    <row r="30">
      <c r="A30" s="12" t="n">
        <v>23</v>
      </c>
      <c r="B30" s="12" t="inlineStr">
        <is>
          <t>T5/2028</t>
        </is>
      </c>
      <c r="C30" s="8">
        <f>$D$4</f>
        <v/>
      </c>
      <c r="D30" s="17" t="inlineStr"/>
      <c r="E30" s="17" t="inlineStr"/>
      <c r="F30" s="8">
        <f>F29-C30</f>
        <v/>
      </c>
      <c r="G30" s="17" t="inlineStr"/>
    </row>
    <row r="31">
      <c r="A31" s="12" t="n">
        <v>24</v>
      </c>
      <c r="B31" s="12" t="inlineStr">
        <is>
          <t>T6/2028</t>
        </is>
      </c>
      <c r="C31" s="8">
        <f>$D$4</f>
        <v/>
      </c>
      <c r="D31" s="17" t="inlineStr"/>
      <c r="E31" s="17" t="inlineStr"/>
      <c r="F31" s="8">
        <f>F30-C31</f>
        <v/>
      </c>
      <c r="G31" s="17" t="inlineStr"/>
    </row>
    <row r="34">
      <c r="A34" s="6" t="inlineStr">
        <is>
          <t>2. NỢ A TRÍ</t>
        </is>
      </c>
    </row>
    <row r="35">
      <c r="A35" t="inlineStr">
        <is>
          <t>Nợ gốc</t>
        </is>
      </c>
      <c r="B35" s="8">
        <f>'99_CAU_HINH'!C9</f>
        <v/>
      </c>
      <c r="C35" t="inlineStr">
        <is>
          <t>Đã trả</t>
        </is>
      </c>
      <c r="D35" s="18" t="n">
        <v>0</v>
      </c>
      <c r="E35" t="inlineStr">
        <is>
          <t>Còn lại</t>
        </is>
      </c>
      <c r="F35" s="8">
        <f>B35-D35</f>
        <v/>
      </c>
    </row>
    <row r="37">
      <c r="A37" s="3" t="inlineStr">
        <is>
          <t>Lịch / log trả a Trí</t>
        </is>
      </c>
    </row>
    <row r="38">
      <c r="A38" s="7" t="inlineStr">
        <is>
          <t>#</t>
        </is>
      </c>
      <c r="B38" s="7" t="inlineStr">
        <is>
          <t>Ngày</t>
        </is>
      </c>
      <c r="C38" s="7" t="inlineStr">
        <is>
          <t>Số tiền</t>
        </is>
      </c>
      <c r="D38" s="7" t="inlineStr">
        <is>
          <t>Hình thức</t>
        </is>
      </c>
      <c r="E38" s="7" t="inlineStr">
        <is>
          <t>Ghi chú</t>
        </is>
      </c>
    </row>
    <row r="39">
      <c r="A39" s="12" t="n">
        <v>1</v>
      </c>
      <c r="B39" s="17" t="inlineStr"/>
      <c r="C39" s="18" t="n">
        <v>0</v>
      </c>
      <c r="D39" s="17" t="inlineStr"/>
      <c r="E39" s="17" t="inlineStr"/>
    </row>
    <row r="40">
      <c r="A40" s="12" t="n">
        <v>2</v>
      </c>
      <c r="B40" s="17" t="inlineStr"/>
      <c r="C40" s="18" t="n">
        <v>0</v>
      </c>
      <c r="D40" s="17" t="inlineStr"/>
      <c r="E40" s="17" t="inlineStr"/>
    </row>
    <row r="41">
      <c r="A41" s="12" t="n">
        <v>3</v>
      </c>
      <c r="B41" s="17" t="inlineStr"/>
      <c r="C41" s="18" t="n">
        <v>0</v>
      </c>
      <c r="D41" s="17" t="inlineStr"/>
      <c r="E41" s="17" t="inlineStr"/>
    </row>
    <row r="42">
      <c r="A42" s="12" t="n">
        <v>4</v>
      </c>
      <c r="B42" s="17" t="inlineStr"/>
      <c r="C42" s="18" t="n">
        <v>0</v>
      </c>
      <c r="D42" s="17" t="inlineStr"/>
      <c r="E42" s="17" t="inlineStr"/>
    </row>
    <row r="43">
      <c r="A43" s="12" t="n">
        <v>5</v>
      </c>
      <c r="B43" s="17" t="inlineStr"/>
      <c r="C43" s="18" t="n">
        <v>0</v>
      </c>
      <c r="D43" s="17" t="inlineStr"/>
      <c r="E43" s="17" t="inlineStr"/>
    </row>
    <row r="44">
      <c r="A44" s="12" t="n">
        <v>6</v>
      </c>
      <c r="B44" s="17" t="inlineStr"/>
      <c r="C44" s="18" t="n">
        <v>0</v>
      </c>
      <c r="D44" s="17" t="inlineStr"/>
      <c r="E44" s="17" t="inlineStr"/>
    </row>
    <row r="45">
      <c r="A45" s="12" t="n">
        <v>7</v>
      </c>
      <c r="B45" s="17" t="inlineStr"/>
      <c r="C45" s="18" t="n">
        <v>0</v>
      </c>
      <c r="D45" s="17" t="inlineStr"/>
      <c r="E45" s="17" t="inlineStr"/>
    </row>
    <row r="46">
      <c r="A46" s="12" t="n">
        <v>8</v>
      </c>
      <c r="B46" s="17" t="inlineStr"/>
      <c r="C46" s="18" t="n">
        <v>0</v>
      </c>
      <c r="D46" s="17" t="inlineStr"/>
      <c r="E46" s="17" t="inlineStr"/>
    </row>
    <row r="47">
      <c r="A47" s="12" t="n">
        <v>9</v>
      </c>
      <c r="B47" s="17" t="inlineStr"/>
      <c r="C47" s="18" t="n">
        <v>0</v>
      </c>
      <c r="D47" s="17" t="inlineStr"/>
      <c r="E47" s="17" t="inlineStr"/>
    </row>
    <row r="48">
      <c r="A48" s="12" t="n">
        <v>10</v>
      </c>
      <c r="B48" s="17" t="inlineStr"/>
      <c r="C48" s="18" t="n">
        <v>0</v>
      </c>
      <c r="D48" s="17" t="inlineStr"/>
      <c r="E48" s="17" t="inlineStr"/>
    </row>
    <row r="50">
      <c r="A50" t="inlineStr">
        <is>
          <t>Tổng đã trả (log)</t>
        </is>
      </c>
      <c r="C50" s="8">
        <f>SUM(C39:C48)</f>
        <v/>
      </c>
      <c r="D50" s="2" t="inlineStr">
        <is>
          <t>Có thể copy số này sang D35</t>
        </is>
      </c>
    </row>
  </sheetData>
  <mergeCells count="3">
    <mergeCell ref="A3:G3"/>
    <mergeCell ref="A1:G1"/>
    <mergeCell ref="A34:G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05 · TÍN DỤNG — Dư nợ thẻ theo tháng</t>
        </is>
      </c>
      <c r="R1" t="inlineStr">
        <is>
          <t>EXPORT_Tong_TinDung</t>
        </is>
      </c>
      <c r="S1" s="8">
        <f>D13</f>
        <v/>
      </c>
    </row>
    <row r="3">
      <c r="A3" s="7" t="inlineStr">
        <is>
          <t>STT</t>
        </is>
      </c>
      <c r="B3" s="7" t="inlineStr">
        <is>
          <t>Ngân hàng</t>
        </is>
      </c>
      <c r="C3" s="7" t="inlineStr">
        <is>
          <t>Dòng</t>
        </is>
      </c>
      <c r="D3" s="7" t="inlineStr">
        <is>
          <t>Dư nợ gốc</t>
        </is>
      </c>
      <c r="E3" s="7" t="inlineStr">
        <is>
          <t>T7/26</t>
        </is>
      </c>
      <c r="F3" s="7" t="inlineStr">
        <is>
          <t>T8/26</t>
        </is>
      </c>
      <c r="G3" s="7" t="inlineStr">
        <is>
          <t>T9/26</t>
        </is>
      </c>
      <c r="H3" s="7" t="inlineStr">
        <is>
          <t>T10/26</t>
        </is>
      </c>
      <c r="I3" s="7" t="inlineStr">
        <is>
          <t>T11/26</t>
        </is>
      </c>
      <c r="J3" s="7" t="inlineStr">
        <is>
          <t>T12/26</t>
        </is>
      </c>
      <c r="K3" s="7" t="inlineStr">
        <is>
          <t>T1/27</t>
        </is>
      </c>
      <c r="L3" s="7" t="inlineStr">
        <is>
          <t>T2/27</t>
        </is>
      </c>
      <c r="M3" s="7" t="inlineStr">
        <is>
          <t>T3/27</t>
        </is>
      </c>
      <c r="N3" s="7" t="inlineStr">
        <is>
          <t>T4/27</t>
        </is>
      </c>
      <c r="O3" s="7" t="inlineStr">
        <is>
          <t>T5/27</t>
        </is>
      </c>
      <c r="P3" s="7" t="inlineStr">
        <is>
          <t>T6/27</t>
        </is>
      </c>
    </row>
    <row r="4">
      <c r="A4" s="12" t="n">
        <v>1</v>
      </c>
      <c r="B4" s="12" t="inlineStr">
        <is>
          <t>TPBANK</t>
        </is>
      </c>
      <c r="C4" s="12" t="inlineStr">
        <is>
          <t>💳 Đã trả</t>
        </is>
      </c>
      <c r="D4" s="18" t="n">
        <v>2000000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>
      <c r="A5" s="12" t="n"/>
      <c r="B5" s="12" t="n"/>
      <c r="C5" s="12" t="inlineStr">
        <is>
          <t>✅ Còn lại</t>
        </is>
      </c>
      <c r="D5" s="8">
        <f>D4</f>
        <v/>
      </c>
      <c r="E5" s="8">
        <f>D5-E4</f>
        <v/>
      </c>
      <c r="F5" s="8">
        <f>E5-F4</f>
        <v/>
      </c>
      <c r="G5" s="8">
        <f>F5-G4</f>
        <v/>
      </c>
      <c r="H5" s="8">
        <f>G5-H4</f>
        <v/>
      </c>
      <c r="I5" s="8">
        <f>H5-I4</f>
        <v/>
      </c>
      <c r="J5" s="8">
        <f>I5-J4</f>
        <v/>
      </c>
      <c r="K5" s="8">
        <f>J5-K4</f>
        <v/>
      </c>
      <c r="L5" s="8">
        <f>K5-L4</f>
        <v/>
      </c>
      <c r="M5" s="8">
        <f>L5-M4</f>
        <v/>
      </c>
      <c r="N5" s="8">
        <f>M5-N4</f>
        <v/>
      </c>
      <c r="O5" s="8">
        <f>N5-O4</f>
        <v/>
      </c>
      <c r="P5" s="8">
        <f>O5-P4</f>
        <v/>
      </c>
    </row>
    <row r="6">
      <c r="A6" s="12" t="n">
        <v>2</v>
      </c>
      <c r="B6" s="12" t="inlineStr">
        <is>
          <t>TECHCOMBANK</t>
        </is>
      </c>
      <c r="C6" s="12" t="inlineStr">
        <is>
          <t>💳 Đã trả</t>
        </is>
      </c>
      <c r="D6" s="18" t="n">
        <v>2500000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</row>
    <row r="7">
      <c r="A7" s="12" t="n"/>
      <c r="B7" s="12" t="n"/>
      <c r="C7" s="12" t="inlineStr">
        <is>
          <t>✅ Còn lại</t>
        </is>
      </c>
      <c r="D7" s="8">
        <f>D6</f>
        <v/>
      </c>
      <c r="E7" s="8">
        <f>D7-E6</f>
        <v/>
      </c>
      <c r="F7" s="8">
        <f>E7-F6</f>
        <v/>
      </c>
      <c r="G7" s="8">
        <f>F7-G6</f>
        <v/>
      </c>
      <c r="H7" s="8">
        <f>G7-H6</f>
        <v/>
      </c>
      <c r="I7" s="8">
        <f>H7-I6</f>
        <v/>
      </c>
      <c r="J7" s="8">
        <f>I7-J6</f>
        <v/>
      </c>
      <c r="K7" s="8">
        <f>J7-K6</f>
        <v/>
      </c>
      <c r="L7" s="8">
        <f>K7-L6</f>
        <v/>
      </c>
      <c r="M7" s="8">
        <f>L7-M6</f>
        <v/>
      </c>
      <c r="N7" s="8">
        <f>M7-N6</f>
        <v/>
      </c>
      <c r="O7" s="8">
        <f>N7-O6</f>
        <v/>
      </c>
      <c r="P7" s="8">
        <f>O7-P6</f>
        <v/>
      </c>
    </row>
    <row r="8">
      <c r="A8" s="12" t="n">
        <v>3</v>
      </c>
      <c r="B8" s="12" t="inlineStr">
        <is>
          <t>OCB</t>
        </is>
      </c>
      <c r="C8" s="12" t="inlineStr">
        <is>
          <t>💳 Đã trả</t>
        </is>
      </c>
      <c r="D8" s="18" t="n">
        <v>2000000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</row>
    <row r="9">
      <c r="A9" s="12" t="n"/>
      <c r="B9" s="12" t="n"/>
      <c r="C9" s="12" t="inlineStr">
        <is>
          <t>✅ Còn lại</t>
        </is>
      </c>
      <c r="D9" s="8">
        <f>D8</f>
        <v/>
      </c>
      <c r="E9" s="8">
        <f>D9-E8</f>
        <v/>
      </c>
      <c r="F9" s="8">
        <f>E9-F8</f>
        <v/>
      </c>
      <c r="G9" s="8">
        <f>F9-G8</f>
        <v/>
      </c>
      <c r="H9" s="8">
        <f>G9-H8</f>
        <v/>
      </c>
      <c r="I9" s="8">
        <f>H9-I8</f>
        <v/>
      </c>
      <c r="J9" s="8">
        <f>I9-J8</f>
        <v/>
      </c>
      <c r="K9" s="8">
        <f>J9-K8</f>
        <v/>
      </c>
      <c r="L9" s="8">
        <f>K9-L8</f>
        <v/>
      </c>
      <c r="M9" s="8">
        <f>L9-M8</f>
        <v/>
      </c>
      <c r="N9" s="8">
        <f>M9-N8</f>
        <v/>
      </c>
      <c r="O9" s="8">
        <f>N9-O8</f>
        <v/>
      </c>
      <c r="P9" s="8">
        <f>O9-P8</f>
        <v/>
      </c>
    </row>
    <row r="10">
      <c r="A10" s="12" t="n">
        <v>4</v>
      </c>
      <c r="B10" s="12" t="inlineStr">
        <is>
          <t>SCB</t>
        </is>
      </c>
      <c r="C10" s="12" t="inlineStr">
        <is>
          <t>💳 Đã trả</t>
        </is>
      </c>
      <c r="D10" s="18" t="n">
        <v>4000000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</row>
    <row r="11">
      <c r="A11" s="12" t="n"/>
      <c r="B11" s="12" t="n"/>
      <c r="C11" s="12" t="inlineStr">
        <is>
          <t>✅ Còn lại</t>
        </is>
      </c>
      <c r="D11" s="8">
        <f>D10</f>
        <v/>
      </c>
      <c r="E11" s="8">
        <f>D11-E10</f>
        <v/>
      </c>
      <c r="F11" s="8">
        <f>E11-F10</f>
        <v/>
      </c>
      <c r="G11" s="8">
        <f>F11-G10</f>
        <v/>
      </c>
      <c r="H11" s="8">
        <f>G11-H10</f>
        <v/>
      </c>
      <c r="I11" s="8">
        <f>H11-I10</f>
        <v/>
      </c>
      <c r="J11" s="8">
        <f>I11-J10</f>
        <v/>
      </c>
      <c r="K11" s="8">
        <f>J11-K10</f>
        <v/>
      </c>
      <c r="L11" s="8">
        <f>K11-L10</f>
        <v/>
      </c>
      <c r="M11" s="8">
        <f>L11-M10</f>
        <v/>
      </c>
      <c r="N11" s="8">
        <f>M11-N10</f>
        <v/>
      </c>
      <c r="O11" s="8">
        <f>N11-O10</f>
        <v/>
      </c>
      <c r="P11" s="8">
        <f>O11-P10</f>
        <v/>
      </c>
    </row>
    <row r="13">
      <c r="B13" s="3" t="inlineStr">
        <is>
          <t>TỔNG DƯ NỢ HIỆN TẠI (cột gốc)</t>
        </is>
      </c>
      <c r="D13" s="8">
        <f>D5+D7+D9+D11</f>
        <v/>
      </c>
    </row>
    <row r="15">
      <c r="B15" s="2" t="inlineStr">
        <is>
          <t>Nhập số ĐÃ TRẢ từng tháng (ô vàng). Dòng Còn lại tự trừ dồn. Dashboard đọc tổng dư nợ gốc.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6" customWidth="1" min="4" max="4"/>
    <col width="36" customWidth="1" min="5" max="5"/>
    <col width="18" customWidth="1" min="6" max="6"/>
    <col width="14" customWidth="1" min="8" max="8"/>
    <col width="16" customWidth="1" min="9" max="9"/>
  </cols>
  <sheetData>
    <row r="1" ht="28" customHeight="1">
      <c r="A1" s="1" t="inlineStr">
        <is>
          <t>🎬 JOB_LG — Production (mẫu job kiểu LG)</t>
        </is>
      </c>
      <c r="H1" s="3" t="inlineStr">
        <is>
          <t>EXPORT_KPI</t>
        </is>
      </c>
    </row>
    <row r="2">
      <c r="B2" t="inlineStr">
        <is>
          <t>Agency / Client</t>
        </is>
      </c>
      <c r="C2" s="17" t="inlineStr">
        <is>
          <t>LG</t>
        </is>
      </c>
      <c r="D2" t="inlineStr">
        <is>
          <t>Tên job</t>
        </is>
      </c>
      <c r="E2" s="17" t="inlineStr">
        <is>
          <t>LG Production</t>
        </is>
      </c>
      <c r="F2" s="22" t="n"/>
      <c r="H2" t="inlineStr">
        <is>
          <t>Agency</t>
        </is>
      </c>
      <c r="I2">
        <f>C2</f>
        <v/>
      </c>
    </row>
    <row r="3">
      <c r="B3" t="inlineStr">
        <is>
          <t>Trạng thái</t>
        </is>
      </c>
      <c r="C3" s="17" t="inlineStr">
        <is>
          <t>Chờ thu</t>
        </is>
      </c>
      <c r="D3" t="inlineStr">
        <is>
          <t>Link file ngoài (nếu có)</t>
        </is>
      </c>
      <c r="E3" s="17" t="inlineStr"/>
      <c r="F3" s="22" t="n"/>
      <c r="H3" t="inlineStr">
        <is>
          <t>Job</t>
        </is>
      </c>
      <c r="I3">
        <f>E2</f>
        <v/>
      </c>
    </row>
    <row r="4">
      <c r="H4" t="inlineStr">
        <is>
          <t>Tong_HD</t>
        </is>
      </c>
      <c r="I4" s="8">
        <f>C6</f>
        <v/>
      </c>
    </row>
    <row r="5">
      <c r="B5" s="6" t="inlineStr">
        <is>
          <t>A. HỢP ĐỒNG</t>
        </is>
      </c>
      <c r="H5" t="inlineStr">
        <is>
          <t>Da_Thu</t>
        </is>
      </c>
      <c r="I5" s="8">
        <f>C8</f>
        <v/>
      </c>
    </row>
    <row r="6">
      <c r="B6" t="inlineStr">
        <is>
          <t>Tổng phí ký hợp đồng</t>
        </is>
      </c>
      <c r="C6" s="18" t="n">
        <v>63104000</v>
      </c>
      <c r="D6" s="2" t="inlineStr">
        <is>
          <t>← Nhập tổng giá trị HĐ</t>
        </is>
      </c>
      <c r="H6" t="inlineStr">
        <is>
          <t>Con_Lai</t>
        </is>
      </c>
      <c r="I6" s="8">
        <f>C9</f>
        <v/>
      </c>
    </row>
    <row r="7">
      <c r="B7" t="inlineStr">
        <is>
          <t>Phí xuất hoá đơn</t>
        </is>
      </c>
      <c r="C7" s="8">
        <f>C6*'99_CAU_HINH'!C4</f>
        <v/>
      </c>
      <c r="D7" s="2">
        <f>% phí × Tổng HĐ (cấu hình)</f>
        <v/>
      </c>
      <c r="H7" t="inlineStr">
        <is>
          <t>Chi_Phi</t>
        </is>
      </c>
      <c r="I7" s="8">
        <f>C32</f>
        <v/>
      </c>
    </row>
    <row r="8">
      <c r="B8" t="inlineStr">
        <is>
          <t>Đã thu từ KH</t>
        </is>
      </c>
      <c r="C8" s="18" t="n">
        <v>0</v>
      </c>
      <c r="D8" s="2" t="inlineStr">
        <is>
          <t>← Số đã nhận</t>
        </is>
      </c>
      <c r="H8" t="inlineStr">
        <is>
          <t>Loi_Nhuan</t>
        </is>
      </c>
      <c r="I8" s="8">
        <f>C33</f>
        <v/>
      </c>
    </row>
    <row r="9">
      <c r="B9" t="inlineStr">
        <is>
          <t>Còn phải thu (công nợ)</t>
        </is>
      </c>
      <c r="C9" s="8">
        <f>C6-C8</f>
        <v/>
      </c>
      <c r="D9" s="2" t="inlineStr">
        <is>
          <t>Tổng HĐ − Đã thu</t>
        </is>
      </c>
      <c r="H9" t="inlineStr">
        <is>
          <t>A_Tan</t>
        </is>
      </c>
      <c r="I9" s="8">
        <f>C34</f>
        <v/>
      </c>
    </row>
    <row r="10">
      <c r="H10" t="inlineStr">
        <is>
          <t>LN_Con_Lai</t>
        </is>
      </c>
      <c r="I10" s="8">
        <f>C35</f>
        <v/>
      </c>
    </row>
    <row r="11">
      <c r="B11" s="6" t="inlineStr">
        <is>
          <t>B. CHI PHÍ SẢN XUẤT (nhập từng dòng)</t>
        </is>
      </c>
      <c r="H11" t="inlineStr">
        <is>
          <t>Trang_Thai</t>
        </is>
      </c>
      <c r="I11">
        <f>C3</f>
        <v/>
      </c>
    </row>
    <row r="12">
      <c r="A12" s="7" t="inlineStr">
        <is>
          <t>#</t>
        </is>
      </c>
      <c r="B12" s="7" t="inlineStr">
        <is>
          <t>Hạng mục</t>
        </is>
      </c>
      <c r="C12" s="7" t="inlineStr">
        <is>
          <t>Số tiền (đ)</t>
        </is>
      </c>
      <c r="D12" s="7" t="inlineStr">
        <is>
          <t>Ghi chú</t>
        </is>
      </c>
      <c r="E12" s="7" t="inlineStr">
        <is>
          <t>Người nhận</t>
        </is>
      </c>
      <c r="F12" s="7" t="inlineStr">
        <is>
          <t>Đã chi?</t>
        </is>
      </c>
      <c r="H12" t="inlineStr">
        <is>
          <t>Link</t>
        </is>
      </c>
      <c r="I12">
        <f>E3</f>
        <v/>
      </c>
    </row>
    <row r="13">
      <c r="A13" s="12" t="n">
        <v>1</v>
      </c>
      <c r="B13" s="17" t="inlineStr">
        <is>
          <t>Camop 1</t>
        </is>
      </c>
      <c r="C13" s="18" t="n">
        <v>8000000</v>
      </c>
      <c r="D13" s="17" t="inlineStr">
        <is>
          <t>Camera Operator 1</t>
        </is>
      </c>
      <c r="E13" s="17" t="inlineStr"/>
      <c r="F13" s="17" t="inlineStr">
        <is>
          <t>Chưa</t>
        </is>
      </c>
    </row>
    <row r="14">
      <c r="A14" s="12" t="n">
        <v>2</v>
      </c>
      <c r="B14" s="17" t="inlineStr">
        <is>
          <t>Camop 2</t>
        </is>
      </c>
      <c r="C14" s="18" t="n">
        <v>6000000</v>
      </c>
      <c r="D14" s="17" t="inlineStr">
        <is>
          <t>Camera Operator 2</t>
        </is>
      </c>
      <c r="E14" s="17" t="inlineStr"/>
      <c r="F14" s="17" t="inlineStr">
        <is>
          <t>Chưa</t>
        </is>
      </c>
    </row>
    <row r="15">
      <c r="A15" s="12" t="n">
        <v>3</v>
      </c>
      <c r="B15" s="17" t="inlineStr">
        <is>
          <t>Producer</t>
        </is>
      </c>
      <c r="C15" s="18" t="n">
        <v>5000000</v>
      </c>
      <c r="D15" s="17" t="inlineStr">
        <is>
          <t>Producer</t>
        </is>
      </c>
      <c r="E15" s="17" t="inlineStr"/>
      <c r="F15" s="17" t="inlineStr">
        <is>
          <t>Chưa</t>
        </is>
      </c>
    </row>
    <row r="16">
      <c r="A16" s="12" t="n">
        <v>4</v>
      </c>
      <c r="B16" s="17" t="inlineStr">
        <is>
          <t>Catering</t>
        </is>
      </c>
      <c r="C16" s="18" t="n">
        <v>2000000</v>
      </c>
      <c r="D16" s="17" t="inlineStr">
        <is>
          <t>Ăn uống</t>
        </is>
      </c>
      <c r="E16" s="17" t="inlineStr"/>
      <c r="F16" s="17" t="inlineStr">
        <is>
          <t>Chưa</t>
        </is>
      </c>
    </row>
    <row r="17">
      <c r="A17" s="12" t="n">
        <v>5</v>
      </c>
      <c r="B17" s="17" t="inlineStr">
        <is>
          <t>Talent</t>
        </is>
      </c>
      <c r="C17" s="18" t="n">
        <v>3000000</v>
      </c>
      <c r="D17" s="17" t="inlineStr">
        <is>
          <t>Talent</t>
        </is>
      </c>
      <c r="E17" s="17" t="inlineStr"/>
      <c r="F17" s="17" t="inlineStr">
        <is>
          <t>Chưa</t>
        </is>
      </c>
    </row>
    <row r="18">
      <c r="A18" s="12" t="n">
        <v>6</v>
      </c>
      <c r="B18" s="17" t="inlineStr">
        <is>
          <t>Edit / Post</t>
        </is>
      </c>
      <c r="C18" s="18" t="n">
        <v>10000000</v>
      </c>
      <c r="D18" s="17" t="inlineStr">
        <is>
          <t>Dựng</t>
        </is>
      </c>
      <c r="E18" s="17" t="inlineStr"/>
      <c r="F18" s="17" t="inlineStr">
        <is>
          <t>Chưa</t>
        </is>
      </c>
    </row>
    <row r="19">
      <c r="A19" s="12" t="n">
        <v>7</v>
      </c>
      <c r="B19" s="17" t="inlineStr">
        <is>
          <t>Thiết bị / khác</t>
        </is>
      </c>
      <c r="C19" s="18" t="n">
        <v>4000000</v>
      </c>
      <c r="D19" s="17" t="inlineStr">
        <is>
          <t>Thuê TB</t>
        </is>
      </c>
      <c r="E19" s="17" t="inlineStr"/>
      <c r="F19" s="17" t="inlineStr">
        <is>
          <t>Chưa</t>
        </is>
      </c>
    </row>
    <row r="20">
      <c r="A20" s="12" t="n">
        <v>8</v>
      </c>
      <c r="B20" s="17" t="inlineStr">
        <is>
          <t>Chi khác 1</t>
        </is>
      </c>
      <c r="C20" s="18" t="n">
        <v>0</v>
      </c>
      <c r="D20" s="17" t="inlineStr"/>
      <c r="E20" s="17" t="inlineStr"/>
      <c r="F20" s="17" t="inlineStr">
        <is>
          <t>Chưa</t>
        </is>
      </c>
    </row>
    <row r="21">
      <c r="A21" s="12" t="n">
        <v>9</v>
      </c>
      <c r="B21" s="17" t="inlineStr">
        <is>
          <t>Chi khác 2</t>
        </is>
      </c>
      <c r="C21" s="18" t="n">
        <v>0</v>
      </c>
      <c r="D21" s="17" t="inlineStr"/>
      <c r="E21" s="17" t="inlineStr"/>
      <c r="F21" s="17" t="inlineStr">
        <is>
          <t>Chưa</t>
        </is>
      </c>
    </row>
    <row r="22">
      <c r="A22" s="12" t="n">
        <v>10</v>
      </c>
      <c r="B22" s="17" t="inlineStr">
        <is>
          <t>Chi khác 3</t>
        </is>
      </c>
      <c r="C22" s="18" t="n">
        <v>0</v>
      </c>
      <c r="D22" s="17" t="inlineStr"/>
      <c r="E22" s="17" t="inlineStr"/>
      <c r="F22" s="17" t="inlineStr">
        <is>
          <t>Chưa</t>
        </is>
      </c>
    </row>
    <row r="23">
      <c r="A23" s="12" t="n">
        <v>11</v>
      </c>
      <c r="B23" s="17" t="inlineStr"/>
      <c r="C23" s="18" t="n">
        <v>0</v>
      </c>
      <c r="D23" s="17" t="inlineStr"/>
      <c r="E23" s="17" t="inlineStr"/>
      <c r="F23" s="17" t="inlineStr"/>
    </row>
    <row r="24">
      <c r="A24" s="12" t="n">
        <v>12</v>
      </c>
      <c r="B24" s="17" t="inlineStr"/>
      <c r="C24" s="18" t="n">
        <v>0</v>
      </c>
      <c r="D24" s="17" t="inlineStr"/>
      <c r="E24" s="17" t="inlineStr"/>
      <c r="F24" s="17" t="inlineStr"/>
    </row>
    <row r="25">
      <c r="A25" s="12" t="n">
        <v>13</v>
      </c>
      <c r="B25" s="17" t="inlineStr"/>
      <c r="C25" s="18" t="n">
        <v>0</v>
      </c>
      <c r="D25" s="17" t="inlineStr"/>
      <c r="E25" s="17" t="inlineStr"/>
      <c r="F25" s="17" t="inlineStr"/>
    </row>
    <row r="26">
      <c r="A26" s="12" t="n">
        <v>14</v>
      </c>
      <c r="B26" s="17" t="inlineStr"/>
      <c r="C26" s="18" t="n">
        <v>0</v>
      </c>
      <c r="D26" s="17" t="inlineStr"/>
      <c r="E26" s="17" t="inlineStr"/>
      <c r="F26" s="17" t="inlineStr"/>
    </row>
    <row r="27">
      <c r="A27" s="12" t="n">
        <v>15</v>
      </c>
      <c r="B27" s="17" t="inlineStr"/>
      <c r="C27" s="18" t="n">
        <v>0</v>
      </c>
      <c r="D27" s="17" t="inlineStr"/>
      <c r="E27" s="17" t="inlineStr"/>
      <c r="F27" s="17" t="inlineStr"/>
    </row>
    <row r="29">
      <c r="B29" s="3" t="inlineStr">
        <is>
          <t>Tổng chi phí sản xuất</t>
        </is>
      </c>
      <c r="C29" s="8">
        <f>SUM(C13:C27)</f>
        <v/>
      </c>
    </row>
    <row r="31">
      <c r="B31" s="6" t="inlineStr">
        <is>
          <t>C. TỔNG KẾT P&amp;L</t>
        </is>
      </c>
    </row>
    <row r="32">
      <c r="B32" s="3" t="inlineStr">
        <is>
          <t>Tổng chi phí (HĐ fee + SX)</t>
        </is>
      </c>
      <c r="C32" s="8">
        <f>C7+C29</f>
        <v/>
      </c>
      <c r="D32" s="2" t="inlineStr">
        <is>
          <t>Phí HĐ + SX</t>
        </is>
      </c>
    </row>
    <row r="33">
      <c r="B33" s="3" t="inlineStr">
        <is>
          <t>Lợi nhuận gộp</t>
        </is>
      </c>
      <c r="C33" s="8">
        <f>C6-C32</f>
        <v/>
      </c>
      <c r="D33" s="2" t="inlineStr">
        <is>
          <t>Tổng HĐ − Tổng chi phí</t>
        </is>
      </c>
    </row>
    <row r="34">
      <c r="B34" s="3" t="inlineStr">
        <is>
          <t>💰 A Tân (share)</t>
        </is>
      </c>
      <c r="C34" s="8">
        <f>C33*'99_CAU_HINH'!C5</f>
        <v/>
      </c>
      <c r="D34" s="2" t="inlineStr">
        <is>
          <t>% LN từ cấu hình</t>
        </is>
      </c>
    </row>
    <row r="35">
      <c r="B35" s="3" t="inlineStr">
        <is>
          <t>Lợi nhuận còn lại</t>
        </is>
      </c>
      <c r="C35" s="8">
        <f>C33-C34</f>
        <v/>
      </c>
      <c r="D35" s="2" t="inlineStr">
        <is>
          <t>Sau A Tân</t>
        </is>
      </c>
    </row>
    <row r="36">
      <c r="B36" s="3" t="inlineStr">
        <is>
          <t>Công nợ còn lại</t>
        </is>
      </c>
      <c r="C36" s="8">
        <f>C9</f>
        <v/>
      </c>
      <c r="D36" s="2" t="inlineStr">
        <is>
          <t>Link sang 03_CONG_NO / Agency</t>
        </is>
      </c>
    </row>
    <row r="39">
      <c r="B39" s="2" t="inlineStr">
        <is>
          <t>📌 Sau khi copy sheet: đổi tên tab JOB_XXX → cập nhật dòng tương ứng ở 02_JOB_AGENCY (cột Tên sheet).</t>
        </is>
      </c>
    </row>
  </sheetData>
  <mergeCells count="6">
    <mergeCell ref="E2:F2"/>
    <mergeCell ref="A1:F1"/>
    <mergeCell ref="B11:F11"/>
    <mergeCell ref="B5:F5"/>
    <mergeCell ref="B31:F31"/>
    <mergeCell ref="E3:F3"/>
  </mergeCells>
  <dataValidations count="2">
    <dataValidation sqref="C3" showDropDown="0" showInputMessage="0" showErrorMessage="0" allowBlank="1" type="list">
      <formula1>"Đang làm,Chờ thu,Đã xong,Tạm dừng"</formula1>
    </dataValidation>
    <dataValidation sqref="F13:F27" showDropDown="0" showInputMessage="0" showErrorMessage="0" allowBlank="1" type="list">
      <formula1>"Chưa,Một phần,Xong"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8" customWidth="1" min="4" max="4"/>
    <col width="50" customWidth="1" min="5" max="5"/>
    <col width="14" customWidth="1" min="8" max="8"/>
    <col width="18" customWidth="1" min="9" max="9"/>
  </cols>
  <sheetData>
    <row r="1" ht="28" customHeight="1">
      <c r="A1" s="1" t="inlineStr">
        <is>
          <t>🎬 JOB_BLUESCOPE — Booking riêng (link file ngoài)</t>
        </is>
      </c>
      <c r="H1" s="3" t="inlineStr">
        <is>
          <t>EXPORT_KPI</t>
        </is>
      </c>
    </row>
    <row r="2">
      <c r="B2" s="14" t="inlineStr">
        <is>
          <t>⚡ File booking RIÊNG — không gộp vào Money. Mở: https://docs.google.com/spreadsheets/d/1ygn6O9Ej1-AmaeCVDOp6UD3pnbiyhG0c-ZUJ4MgNzdo/edit</t>
        </is>
      </c>
      <c r="H2" t="inlineStr">
        <is>
          <t>Agency</t>
        </is>
      </c>
      <c r="I2" s="13">
        <f>C4</f>
        <v/>
      </c>
    </row>
    <row r="3">
      <c r="H3" t="inlineStr">
        <is>
          <t>Job</t>
        </is>
      </c>
      <c r="I3" s="13">
        <f>C5</f>
        <v/>
      </c>
    </row>
    <row r="4">
      <c r="B4" t="inlineStr">
        <is>
          <t>Agency</t>
        </is>
      </c>
      <c r="C4" s="17" t="inlineStr">
        <is>
          <t>Bluescope / NS BlueScope</t>
        </is>
      </c>
      <c r="H4" t="inlineStr">
        <is>
          <t>Tong_HD</t>
        </is>
      </c>
      <c r="I4" s="8">
        <f>C13</f>
        <v/>
      </c>
    </row>
    <row r="5">
      <c r="B5" t="inlineStr">
        <is>
          <t>Tên job</t>
        </is>
      </c>
      <c r="C5" s="17" t="inlineStr">
        <is>
          <t>Booking production 2025–2026</t>
        </is>
      </c>
      <c r="H5" t="inlineStr">
        <is>
          <t>Da_Thu</t>
        </is>
      </c>
      <c r="I5" s="8">
        <f>C14</f>
        <v/>
      </c>
    </row>
    <row r="6">
      <c r="B6" t="inlineStr">
        <is>
          <t>Trạng thái</t>
        </is>
      </c>
      <c r="C6" s="17" t="inlineStr">
        <is>
          <t>Đang làm</t>
        </is>
      </c>
      <c r="H6" t="inlineStr">
        <is>
          <t>Con_Lai</t>
        </is>
      </c>
      <c r="I6" s="8">
        <f>C15</f>
        <v/>
      </c>
    </row>
    <row r="7">
      <c r="H7" t="inlineStr">
        <is>
          <t>Chi_Phi</t>
        </is>
      </c>
      <c r="I7" s="8">
        <f>C11</f>
        <v/>
      </c>
    </row>
    <row r="8">
      <c r="B8" s="6" t="inlineStr">
        <is>
          <t>A. TỔNG HỢP TỪ FILE BOOKING (Google Sheets: thay bằng IMPORTRANGE)</t>
        </is>
      </c>
      <c r="H8" t="inlineStr">
        <is>
          <t>Loi_Nhuan</t>
        </is>
      </c>
      <c r="I8" s="8">
        <f>C13-C11</f>
        <v/>
      </c>
    </row>
    <row r="9">
      <c r="B9" t="inlineStr">
        <is>
          <t>Ngân sách (từ Bluescope L2)</t>
        </is>
      </c>
      <c r="C9" s="18" t="n">
        <v>100000000</v>
      </c>
      <c r="D9" s="2" t="inlineStr">
        <is>
          <t>Excel: nhập tay / GS: IMPORTRANGE L2</t>
        </is>
      </c>
      <c r="H9" t="inlineStr">
        <is>
          <t>A_Tan</t>
        </is>
      </c>
      <c r="I9" s="8" t="n">
        <v>0</v>
      </c>
    </row>
    <row r="10">
      <c r="B10" t="inlineStr">
        <is>
          <t>Đã nhận</t>
        </is>
      </c>
      <c r="C10" s="18" t="n">
        <v>0</v>
      </c>
      <c r="H10" t="inlineStr">
        <is>
          <t>LN_Con_Lai</t>
        </is>
      </c>
      <c r="I10" s="8">
        <f>I8-I9</f>
        <v/>
      </c>
    </row>
    <row r="11">
      <c r="B11" t="inlineStr">
        <is>
          <t>Đã xài (từ Bluescope N2)</t>
        </is>
      </c>
      <c r="C11" s="18" t="n">
        <v>44000000</v>
      </c>
      <c r="D11" s="2" t="inlineStr">
        <is>
          <t>Hoặc SUM cột TỔNG event</t>
        </is>
      </c>
      <c r="H11" t="inlineStr">
        <is>
          <t>Trang_Thai</t>
        </is>
      </c>
      <c r="I11" s="13">
        <f>C6</f>
        <v/>
      </c>
    </row>
    <row r="12">
      <c r="B12" t="inlineStr">
        <is>
          <t>Còn lại ngân sách</t>
        </is>
      </c>
      <c r="C12" s="8">
        <f>C9-C11</f>
        <v/>
      </c>
      <c r="H12" t="inlineStr">
        <is>
          <t>Link</t>
        </is>
      </c>
      <c r="I12" s="17" t="inlineStr">
        <is>
          <t>https://docs.google.com/spreadsheets/d/1ygn6O9Ej1-AmaeCVDOp6UD3pnbiyhG0c-ZUJ4MgNzdo/edit</t>
        </is>
      </c>
    </row>
    <row r="13">
      <c r="B13" t="inlineStr">
        <is>
          <t>Tổng HĐ / giá trị booking (dùng cho công nợ)</t>
        </is>
      </c>
      <c r="C13" s="8">
        <f>C9</f>
        <v/>
      </c>
    </row>
    <row r="14">
      <c r="B14" t="inlineStr">
        <is>
          <t>Đã thu từ KH</t>
        </is>
      </c>
      <c r="C14" s="18" t="n">
        <v>0</v>
      </c>
    </row>
    <row r="15">
      <c r="B15" t="inlineStr">
        <is>
          <t>Công nợ còn lại</t>
        </is>
      </c>
      <c r="C15" s="8">
        <f>C13-C14</f>
        <v/>
      </c>
    </row>
    <row r="17">
      <c r="B17" s="6" t="inlineStr">
        <is>
          <t>B. SỰ KIỆN ĐÃ BOOK (tóm tắt — chi tiết ở file Bluescope)</t>
        </is>
      </c>
    </row>
    <row r="18">
      <c r="A18" s="7" t="inlineStr">
        <is>
          <t>#</t>
        </is>
      </c>
      <c r="B18" s="7" t="inlineStr">
        <is>
          <t>Tên sự kiện</t>
        </is>
      </c>
      <c r="C18" s="7" t="inlineStr">
        <is>
          <t>Ngày</t>
        </is>
      </c>
      <c r="D18" s="7" t="inlineStr">
        <is>
          <t>Tổng (đ)</t>
        </is>
      </c>
      <c r="E18" s="7" t="inlineStr">
        <is>
          <t>Ghi chú</t>
        </is>
      </c>
    </row>
    <row r="19">
      <c r="A19" s="12" t="n">
        <v>1</v>
      </c>
      <c r="B19" s="17" t="inlineStr">
        <is>
          <t>Quay Trồng Cây</t>
        </is>
      </c>
      <c r="C19" s="17" t="inlineStr">
        <is>
          <t>2026-06-11</t>
        </is>
      </c>
      <c r="D19" s="18" t="n">
        <v>13000000</v>
      </c>
      <c r="E19" s="17" t="inlineStr">
        <is>
          <t>Đi tỉnh</t>
        </is>
      </c>
    </row>
    <row r="20">
      <c r="A20" s="12" t="n">
        <v>2</v>
      </c>
      <c r="B20" s="17" t="inlineStr">
        <is>
          <t>Quay Bình Dương</t>
        </is>
      </c>
      <c r="C20" s="17" t="inlineStr">
        <is>
          <t>2026-06-17</t>
        </is>
      </c>
      <c r="D20" s="18" t="n">
        <v>16000000</v>
      </c>
      <c r="E20" s="17" t="inlineStr">
        <is>
          <t>Đi xa + NS</t>
        </is>
      </c>
    </row>
    <row r="21">
      <c r="A21" s="12" t="n">
        <v>3</v>
      </c>
      <c r="B21" s="17" t="inlineStr">
        <is>
          <t>Sửa POSM</t>
        </is>
      </c>
      <c r="C21" s="17" t="inlineStr">
        <is>
          <t>2026-06-26</t>
        </is>
      </c>
      <c r="D21" s="18" t="n">
        <v>3000000</v>
      </c>
      <c r="E21" s="17" t="inlineStr"/>
    </row>
    <row r="22">
      <c r="A22" s="12" t="n">
        <v>4</v>
      </c>
      <c r="B22" s="17" t="inlineStr">
        <is>
          <t>Recap Q3</t>
        </is>
      </c>
      <c r="C22" s="17" t="inlineStr">
        <is>
          <t>2025-06-06</t>
        </is>
      </c>
      <c r="D22" s="18" t="n">
        <v>8000000</v>
      </c>
      <c r="E22" s="17" t="inlineStr">
        <is>
          <t>Edit</t>
        </is>
      </c>
    </row>
    <row r="23">
      <c r="A23" s="12" t="n">
        <v>5</v>
      </c>
      <c r="B23" s="17" t="inlineStr">
        <is>
          <t>POSM 2 banner</t>
        </is>
      </c>
      <c r="C23" s="17" t="inlineStr">
        <is>
          <t>2025-07-04</t>
        </is>
      </c>
      <c r="D23" s="18" t="n">
        <v>2000000</v>
      </c>
      <c r="E23" s="17" t="inlineStr"/>
    </row>
    <row r="24">
      <c r="A24" s="12" t="n">
        <v>6</v>
      </c>
      <c r="B24" s="17" t="inlineStr">
        <is>
          <t>Recap Q3 fix 2</t>
        </is>
      </c>
      <c r="C24" s="17" t="inlineStr">
        <is>
          <t>2026-07-19</t>
        </is>
      </c>
      <c r="D24" s="18" t="n">
        <v>2000000</v>
      </c>
      <c r="E24" s="17" t="inlineStr">
        <is>
          <t>HCM</t>
        </is>
      </c>
    </row>
    <row r="25">
      <c r="A25" s="12" t="n">
        <v>7</v>
      </c>
      <c r="B25" s="17" t="inlineStr"/>
      <c r="C25" s="17" t="inlineStr"/>
      <c r="D25" s="18" t="n">
        <v>0</v>
      </c>
      <c r="E25" s="17" t="inlineStr"/>
    </row>
    <row r="26">
      <c r="A26" s="12" t="n">
        <v>8</v>
      </c>
      <c r="B26" s="17" t="inlineStr"/>
      <c r="C26" s="17" t="inlineStr"/>
      <c r="D26" s="18" t="n">
        <v>0</v>
      </c>
      <c r="E26" s="17" t="inlineStr"/>
    </row>
    <row r="27">
      <c r="A27" s="12" t="n">
        <v>9</v>
      </c>
      <c r="B27" s="17" t="inlineStr"/>
      <c r="C27" s="17" t="inlineStr"/>
      <c r="D27" s="18" t="n">
        <v>0</v>
      </c>
      <c r="E27" s="17" t="inlineStr"/>
    </row>
    <row r="28">
      <c r="A28" s="12" t="n">
        <v>10</v>
      </c>
      <c r="B28" s="17" t="inlineStr"/>
      <c r="C28" s="17" t="inlineStr"/>
      <c r="D28" s="18" t="n">
        <v>0</v>
      </c>
      <c r="E28" s="17" t="inlineStr"/>
    </row>
    <row r="29">
      <c r="A29" s="12" t="n">
        <v>11</v>
      </c>
      <c r="B29" s="17" t="inlineStr"/>
      <c r="C29" s="17" t="inlineStr"/>
      <c r="D29" s="18" t="n">
        <v>0</v>
      </c>
      <c r="E29" s="17" t="inlineStr"/>
    </row>
    <row r="30">
      <c r="A30" s="12" t="n">
        <v>12</v>
      </c>
      <c r="B30" s="17" t="inlineStr"/>
      <c r="C30" s="17" t="inlineStr"/>
      <c r="D30" s="18" t="n">
        <v>0</v>
      </c>
      <c r="E30" s="17" t="inlineStr"/>
    </row>
    <row r="31">
      <c r="A31" s="12" t="n">
        <v>13</v>
      </c>
      <c r="B31" s="17" t="inlineStr"/>
      <c r="C31" s="17" t="inlineStr"/>
      <c r="D31" s="18" t="n">
        <v>0</v>
      </c>
      <c r="E31" s="17" t="inlineStr"/>
    </row>
    <row r="32">
      <c r="A32" s="12" t="n">
        <v>14</v>
      </c>
      <c r="B32" s="17" t="inlineStr"/>
      <c r="C32" s="17" t="inlineStr"/>
      <c r="D32" s="18" t="n">
        <v>0</v>
      </c>
      <c r="E32" s="17" t="inlineStr"/>
    </row>
    <row r="33">
      <c r="A33" s="12" t="n">
        <v>15</v>
      </c>
      <c r="B33" s="17" t="inlineStr"/>
      <c r="C33" s="17" t="inlineStr"/>
      <c r="D33" s="18" t="n">
        <v>0</v>
      </c>
      <c r="E33" s="17" t="inlineStr"/>
    </row>
    <row r="34">
      <c r="A34" s="12" t="n">
        <v>16</v>
      </c>
      <c r="B34" s="17" t="inlineStr"/>
      <c r="C34" s="17" t="inlineStr"/>
      <c r="D34" s="18" t="n">
        <v>0</v>
      </c>
      <c r="E34" s="17" t="inlineStr"/>
    </row>
    <row r="35">
      <c r="B35" t="inlineStr">
        <is>
          <t>Tổng chi event (sheet này)</t>
        </is>
      </c>
      <c r="C35" s="8">
        <f>SUM(D19:D34)</f>
        <v/>
      </c>
    </row>
    <row r="37">
      <c r="B37" s="3" t="inlineStr">
        <is>
          <t>Công thức Google Sheets gợi ý (dán đè C9 / C11):</t>
        </is>
      </c>
    </row>
    <row r="38">
      <c r="B38" s="23">
        <f>IMPORTRANGE("https://docs.google.com/spreadsheets/d/1ygn6O9Ej1-AmaeCVDOp6UD3pnbiyhG0c-ZUJ4MgNzdo/edit";"BLUESCOPE_2025!L2")</f>
        <v/>
      </c>
    </row>
    <row r="39">
      <c r="B39" s="23">
        <f>IMPORTRANGE("https://docs.google.com/spreadsheets/d/1ygn6O9Ej1-AmaeCVDOp6UD3pnbiyhG0c-ZUJ4MgNzdo/edit";"BLUESCOPE_2025!N2")</f>
        <v/>
      </c>
    </row>
    <row r="40">
      <c r="B40" s="2" t="inlineStr">
        <is>
          <t>Sau khi Allow access, Còn lại / công nợ / Dashboard sẽ cập nhật theo file Bluescope.</t>
        </is>
      </c>
    </row>
  </sheetData>
  <mergeCells count="4">
    <mergeCell ref="B17:E17"/>
    <mergeCell ref="A1:E1"/>
    <mergeCell ref="B8:E8"/>
    <mergeCell ref="B2:E2"/>
  </mergeCell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6" customWidth="1" min="4" max="4"/>
    <col width="36" customWidth="1" min="5" max="5"/>
    <col width="18" customWidth="1" min="6" max="6"/>
    <col width="14" customWidth="1" min="8" max="8"/>
    <col width="16" customWidth="1" min="9" max="9"/>
  </cols>
  <sheetData>
    <row r="1" ht="28" customHeight="1">
      <c r="A1" s="1" t="inlineStr">
        <is>
          <t>🎬 CHI PHÍ JOB — (đổi tên sheet thành JOB_XXX)</t>
        </is>
      </c>
      <c r="H1" s="3" t="inlineStr">
        <is>
          <t>EXPORT_KPI</t>
        </is>
      </c>
    </row>
    <row r="2">
      <c r="B2" t="inlineStr">
        <is>
          <t>Agency / Client</t>
        </is>
      </c>
      <c r="C2" s="17" t="inlineStr"/>
      <c r="D2" t="inlineStr">
        <is>
          <t>Tên job</t>
        </is>
      </c>
      <c r="E2" s="17" t="inlineStr"/>
      <c r="F2" s="22" t="n"/>
      <c r="H2" t="inlineStr">
        <is>
          <t>Agency</t>
        </is>
      </c>
      <c r="I2">
        <f>C2</f>
        <v/>
      </c>
    </row>
    <row r="3">
      <c r="B3" t="inlineStr">
        <is>
          <t>Trạng thái</t>
        </is>
      </c>
      <c r="C3" s="17" t="inlineStr">
        <is>
          <t>Đang làm</t>
        </is>
      </c>
      <c r="D3" t="inlineStr">
        <is>
          <t>Link file ngoài (nếu có)</t>
        </is>
      </c>
      <c r="E3" s="17" t="inlineStr"/>
      <c r="F3" s="22" t="n"/>
      <c r="H3" t="inlineStr">
        <is>
          <t>Job</t>
        </is>
      </c>
      <c r="I3">
        <f>E2</f>
        <v/>
      </c>
    </row>
    <row r="4">
      <c r="H4" t="inlineStr">
        <is>
          <t>Tong_HD</t>
        </is>
      </c>
      <c r="I4" s="8">
        <f>C6</f>
        <v/>
      </c>
    </row>
    <row r="5">
      <c r="B5" s="6" t="inlineStr">
        <is>
          <t>A. HỢP ĐỒNG</t>
        </is>
      </c>
      <c r="H5" t="inlineStr">
        <is>
          <t>Da_Thu</t>
        </is>
      </c>
      <c r="I5" s="8">
        <f>C8</f>
        <v/>
      </c>
    </row>
    <row r="6">
      <c r="B6" t="inlineStr">
        <is>
          <t>Tổng phí ký hợp đồng</t>
        </is>
      </c>
      <c r="C6" s="18" t="n">
        <v>0</v>
      </c>
      <c r="D6" s="2" t="inlineStr">
        <is>
          <t>← Nhập tổng giá trị HĐ</t>
        </is>
      </c>
      <c r="H6" t="inlineStr">
        <is>
          <t>Con_Lai</t>
        </is>
      </c>
      <c r="I6" s="8">
        <f>C9</f>
        <v/>
      </c>
    </row>
    <row r="7">
      <c r="B7" t="inlineStr">
        <is>
          <t>Phí xuất hoá đơn</t>
        </is>
      </c>
      <c r="C7" s="8">
        <f>C6*'99_CAU_HINH'!C4</f>
        <v/>
      </c>
      <c r="D7" s="2">
        <f>% phí × Tổng HĐ (cấu hình)</f>
        <v/>
      </c>
      <c r="H7" t="inlineStr">
        <is>
          <t>Chi_Phi</t>
        </is>
      </c>
      <c r="I7" s="8">
        <f>C32</f>
        <v/>
      </c>
    </row>
    <row r="8">
      <c r="B8" t="inlineStr">
        <is>
          <t>Đã thu từ KH</t>
        </is>
      </c>
      <c r="C8" s="18" t="n">
        <v>0</v>
      </c>
      <c r="D8" s="2" t="inlineStr">
        <is>
          <t>← Số đã nhận</t>
        </is>
      </c>
      <c r="H8" t="inlineStr">
        <is>
          <t>Loi_Nhuan</t>
        </is>
      </c>
      <c r="I8" s="8">
        <f>C33</f>
        <v/>
      </c>
    </row>
    <row r="9">
      <c r="B9" t="inlineStr">
        <is>
          <t>Còn phải thu (công nợ)</t>
        </is>
      </c>
      <c r="C9" s="8">
        <f>C6-C8</f>
        <v/>
      </c>
      <c r="D9" s="2" t="inlineStr">
        <is>
          <t>Tổng HĐ − Đã thu</t>
        </is>
      </c>
      <c r="H9" t="inlineStr">
        <is>
          <t>A_Tan</t>
        </is>
      </c>
      <c r="I9" s="8">
        <f>C34</f>
        <v/>
      </c>
    </row>
    <row r="10">
      <c r="H10" t="inlineStr">
        <is>
          <t>LN_Con_Lai</t>
        </is>
      </c>
      <c r="I10" s="8">
        <f>C35</f>
        <v/>
      </c>
    </row>
    <row r="11">
      <c r="B11" s="6" t="inlineStr">
        <is>
          <t>B. CHI PHÍ SẢN XUẤT (nhập từng dòng)</t>
        </is>
      </c>
      <c r="H11" t="inlineStr">
        <is>
          <t>Trang_Thai</t>
        </is>
      </c>
      <c r="I11">
        <f>C3</f>
        <v/>
      </c>
    </row>
    <row r="12">
      <c r="A12" s="7" t="inlineStr">
        <is>
          <t>#</t>
        </is>
      </c>
      <c r="B12" s="7" t="inlineStr">
        <is>
          <t>Hạng mục</t>
        </is>
      </c>
      <c r="C12" s="7" t="inlineStr">
        <is>
          <t>Số tiền (đ)</t>
        </is>
      </c>
      <c r="D12" s="7" t="inlineStr">
        <is>
          <t>Ghi chú</t>
        </is>
      </c>
      <c r="E12" s="7" t="inlineStr">
        <is>
          <t>Người nhận</t>
        </is>
      </c>
      <c r="F12" s="7" t="inlineStr">
        <is>
          <t>Đã chi?</t>
        </is>
      </c>
      <c r="H12" t="inlineStr">
        <is>
          <t>Link</t>
        </is>
      </c>
      <c r="I12">
        <f>E3</f>
        <v/>
      </c>
    </row>
    <row r="13">
      <c r="A13" s="12" t="n">
        <v>1</v>
      </c>
      <c r="B13" s="17" t="inlineStr">
        <is>
          <t>Camop 1</t>
        </is>
      </c>
      <c r="C13" s="18" t="n">
        <v>0</v>
      </c>
      <c r="D13" s="17" t="inlineStr">
        <is>
          <t>Camera Operator 1</t>
        </is>
      </c>
      <c r="E13" s="17" t="inlineStr"/>
      <c r="F13" s="17" t="inlineStr">
        <is>
          <t>Chưa</t>
        </is>
      </c>
    </row>
    <row r="14">
      <c r="A14" s="12" t="n">
        <v>2</v>
      </c>
      <c r="B14" s="17" t="inlineStr">
        <is>
          <t>Camop 2</t>
        </is>
      </c>
      <c r="C14" s="18" t="n">
        <v>0</v>
      </c>
      <c r="D14" s="17" t="inlineStr">
        <is>
          <t>Camera Operator 2</t>
        </is>
      </c>
      <c r="E14" s="17" t="inlineStr"/>
      <c r="F14" s="17" t="inlineStr">
        <is>
          <t>Chưa</t>
        </is>
      </c>
    </row>
    <row r="15">
      <c r="A15" s="12" t="n">
        <v>3</v>
      </c>
      <c r="B15" s="17" t="inlineStr">
        <is>
          <t>Producer</t>
        </is>
      </c>
      <c r="C15" s="18" t="n">
        <v>0</v>
      </c>
      <c r="D15" s="17" t="inlineStr">
        <is>
          <t>Producer / Đạo diễn</t>
        </is>
      </c>
      <c r="E15" s="17" t="inlineStr"/>
      <c r="F15" s="17" t="inlineStr">
        <is>
          <t>Chưa</t>
        </is>
      </c>
    </row>
    <row r="16">
      <c r="A16" s="12" t="n">
        <v>4</v>
      </c>
      <c r="B16" s="17" t="inlineStr">
        <is>
          <t>Catering</t>
        </is>
      </c>
      <c r="C16" s="18" t="n">
        <v>0</v>
      </c>
      <c r="D16" s="17" t="inlineStr">
        <is>
          <t>Ăn uống / hậu cần</t>
        </is>
      </c>
      <c r="E16" s="17" t="inlineStr"/>
      <c r="F16" s="17" t="inlineStr">
        <is>
          <t>Chưa</t>
        </is>
      </c>
    </row>
    <row r="17">
      <c r="A17" s="12" t="n">
        <v>5</v>
      </c>
      <c r="B17" s="17" t="inlineStr">
        <is>
          <t>Talent</t>
        </is>
      </c>
      <c r="C17" s="18" t="n">
        <v>0</v>
      </c>
      <c r="D17" s="17" t="inlineStr">
        <is>
          <t>Diễn viên / Người mẫu</t>
        </is>
      </c>
      <c r="E17" s="17" t="inlineStr"/>
      <c r="F17" s="17" t="inlineStr">
        <is>
          <t>Chưa</t>
        </is>
      </c>
    </row>
    <row r="18">
      <c r="A18" s="12" t="n">
        <v>6</v>
      </c>
      <c r="B18" s="17" t="inlineStr">
        <is>
          <t>Edit / Post</t>
        </is>
      </c>
      <c r="C18" s="18" t="n">
        <v>0</v>
      </c>
      <c r="D18" s="17" t="inlineStr">
        <is>
          <t>Dựng / post</t>
        </is>
      </c>
      <c r="E18" s="17" t="inlineStr"/>
      <c r="F18" s="17" t="inlineStr">
        <is>
          <t>Chưa</t>
        </is>
      </c>
    </row>
    <row r="19">
      <c r="A19" s="12" t="n">
        <v>7</v>
      </c>
      <c r="B19" s="17" t="inlineStr">
        <is>
          <t>Thiết bị / khác</t>
        </is>
      </c>
      <c r="C19" s="18" t="n">
        <v>0</v>
      </c>
      <c r="D19" s="17" t="inlineStr">
        <is>
          <t>Thuê máy, location…</t>
        </is>
      </c>
      <c r="E19" s="17" t="inlineStr"/>
      <c r="F19" s="17" t="inlineStr">
        <is>
          <t>Chưa</t>
        </is>
      </c>
    </row>
    <row r="20">
      <c r="A20" s="12" t="n">
        <v>8</v>
      </c>
      <c r="B20" s="17" t="inlineStr">
        <is>
          <t>Chi khác 1</t>
        </is>
      </c>
      <c r="C20" s="18" t="n">
        <v>0</v>
      </c>
      <c r="D20" s="17" t="inlineStr"/>
      <c r="E20" s="17" t="inlineStr"/>
      <c r="F20" s="17" t="inlineStr">
        <is>
          <t>Chưa</t>
        </is>
      </c>
    </row>
    <row r="21">
      <c r="A21" s="12" t="n">
        <v>9</v>
      </c>
      <c r="B21" s="17" t="inlineStr">
        <is>
          <t>Chi khác 2</t>
        </is>
      </c>
      <c r="C21" s="18" t="n">
        <v>0</v>
      </c>
      <c r="D21" s="17" t="inlineStr"/>
      <c r="E21" s="17" t="inlineStr"/>
      <c r="F21" s="17" t="inlineStr">
        <is>
          <t>Chưa</t>
        </is>
      </c>
    </row>
    <row r="22">
      <c r="A22" s="12" t="n">
        <v>10</v>
      </c>
      <c r="B22" s="17" t="inlineStr">
        <is>
          <t>Chi khác 3</t>
        </is>
      </c>
      <c r="C22" s="18" t="n">
        <v>0</v>
      </c>
      <c r="D22" s="17" t="inlineStr"/>
      <c r="E22" s="17" t="inlineStr"/>
      <c r="F22" s="17" t="inlineStr">
        <is>
          <t>Chưa</t>
        </is>
      </c>
    </row>
    <row r="23">
      <c r="A23" s="12" t="n">
        <v>11</v>
      </c>
      <c r="B23" s="17" t="inlineStr"/>
      <c r="C23" s="18" t="n">
        <v>0</v>
      </c>
      <c r="D23" s="17" t="inlineStr"/>
      <c r="E23" s="17" t="inlineStr"/>
      <c r="F23" s="17" t="inlineStr"/>
    </row>
    <row r="24">
      <c r="A24" s="12" t="n">
        <v>12</v>
      </c>
      <c r="B24" s="17" t="inlineStr"/>
      <c r="C24" s="18" t="n">
        <v>0</v>
      </c>
      <c r="D24" s="17" t="inlineStr"/>
      <c r="E24" s="17" t="inlineStr"/>
      <c r="F24" s="17" t="inlineStr"/>
    </row>
    <row r="25">
      <c r="A25" s="12" t="n">
        <v>13</v>
      </c>
      <c r="B25" s="17" t="inlineStr"/>
      <c r="C25" s="18" t="n">
        <v>0</v>
      </c>
      <c r="D25" s="17" t="inlineStr"/>
      <c r="E25" s="17" t="inlineStr"/>
      <c r="F25" s="17" t="inlineStr"/>
    </row>
    <row r="26">
      <c r="A26" s="12" t="n">
        <v>14</v>
      </c>
      <c r="B26" s="17" t="inlineStr"/>
      <c r="C26" s="18" t="n">
        <v>0</v>
      </c>
      <c r="D26" s="17" t="inlineStr"/>
      <c r="E26" s="17" t="inlineStr"/>
      <c r="F26" s="17" t="inlineStr"/>
    </row>
    <row r="27">
      <c r="A27" s="12" t="n">
        <v>15</v>
      </c>
      <c r="B27" s="17" t="inlineStr"/>
      <c r="C27" s="18" t="n">
        <v>0</v>
      </c>
      <c r="D27" s="17" t="inlineStr"/>
      <c r="E27" s="17" t="inlineStr"/>
      <c r="F27" s="17" t="inlineStr"/>
    </row>
    <row r="29">
      <c r="B29" s="3" t="inlineStr">
        <is>
          <t>Tổng chi phí sản xuất</t>
        </is>
      </c>
      <c r="C29" s="8">
        <f>SUM(C13:C27)</f>
        <v/>
      </c>
    </row>
    <row r="31">
      <c r="B31" s="6" t="inlineStr">
        <is>
          <t>C. TỔNG KẾT P&amp;L</t>
        </is>
      </c>
    </row>
    <row r="32">
      <c r="B32" s="3" t="inlineStr">
        <is>
          <t>Tổng chi phí (HĐ fee + SX)</t>
        </is>
      </c>
      <c r="C32" s="8">
        <f>C7+C29</f>
        <v/>
      </c>
      <c r="D32" s="2" t="inlineStr">
        <is>
          <t>Phí HĐ + SX</t>
        </is>
      </c>
    </row>
    <row r="33">
      <c r="B33" s="3" t="inlineStr">
        <is>
          <t>Lợi nhuận gộp</t>
        </is>
      </c>
      <c r="C33" s="8">
        <f>C6-C32</f>
        <v/>
      </c>
      <c r="D33" s="2" t="inlineStr">
        <is>
          <t>Tổng HĐ − Tổng chi phí</t>
        </is>
      </c>
    </row>
    <row r="34">
      <c r="B34" s="3" t="inlineStr">
        <is>
          <t>💰 A Tân (share)</t>
        </is>
      </c>
      <c r="C34" s="8">
        <f>C33*'99_CAU_HINH'!C5</f>
        <v/>
      </c>
      <c r="D34" s="2" t="inlineStr">
        <is>
          <t>% LN từ cấu hình</t>
        </is>
      </c>
    </row>
    <row r="35">
      <c r="B35" s="3" t="inlineStr">
        <is>
          <t>Lợi nhuận còn lại</t>
        </is>
      </c>
      <c r="C35" s="8">
        <f>C33-C34</f>
        <v/>
      </c>
      <c r="D35" s="2" t="inlineStr">
        <is>
          <t>Sau A Tân</t>
        </is>
      </c>
    </row>
    <row r="36">
      <c r="B36" s="3" t="inlineStr">
        <is>
          <t>Công nợ còn lại</t>
        </is>
      </c>
      <c r="C36" s="8">
        <f>C9</f>
        <v/>
      </c>
      <c r="D36" s="2" t="inlineStr">
        <is>
          <t>Link sang 03_CONG_NO / Agency</t>
        </is>
      </c>
    </row>
    <row r="39">
      <c r="B39" s="2" t="inlineStr">
        <is>
          <t>📌 Sau khi copy sheet: đổi tên tab JOB_XXX → cập nhật dòng tương ứng ở 02_JOB_AGENCY (cột Tên sheet).</t>
        </is>
      </c>
    </row>
  </sheetData>
  <mergeCells count="6">
    <mergeCell ref="E2:F2"/>
    <mergeCell ref="A1:F1"/>
    <mergeCell ref="B11:F11"/>
    <mergeCell ref="B5:F5"/>
    <mergeCell ref="B31:F31"/>
    <mergeCell ref="E3:F3"/>
  </mergeCells>
  <dataValidations count="2">
    <dataValidation sqref="C3" showDropDown="0" showInputMessage="0" showErrorMessage="0" allowBlank="1" type="list">
      <formula1>"Đang làm,Chờ thu,Đã xong,Tạm dừng"</formula1>
    </dataValidation>
    <dataValidation sqref="F13:F27" showDropDown="0" showInputMessage="0" showErrorMessage="0" allowBlank="1" type="list">
      <formula1>"Chưa,Một phần,Xong"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55" customWidth="1" min="3" max="3"/>
    <col width="40" customWidth="1" min="4" max="4"/>
  </cols>
  <sheetData>
    <row r="1" ht="28" customHeight="1">
      <c r="A1" s="1" t="inlineStr">
        <is>
          <t>99 · CẤU HÌNH HỆ THỐNG</t>
        </is>
      </c>
    </row>
    <row r="3">
      <c r="B3" s="7" t="inlineStr">
        <is>
          <t>Tham số</t>
        </is>
      </c>
      <c r="C3" s="7" t="inlineStr">
        <is>
          <t>Giá trị</t>
        </is>
      </c>
      <c r="D3" s="7" t="inlineStr">
        <is>
          <t>Ghi chú</t>
        </is>
      </c>
    </row>
    <row r="4">
      <c r="B4" s="3" t="inlineStr">
        <is>
          <t>Phi_Xuat_HD</t>
        </is>
      </c>
      <c r="C4" s="24" t="n">
        <v>0.04</v>
      </c>
      <c r="D4" s="2" t="inlineStr">
        <is>
          <t>Phí xuất hoá đơn (4%) — dùng trong job template</t>
        </is>
      </c>
    </row>
    <row r="5">
      <c r="B5" s="3" t="inlineStr">
        <is>
          <t>Ty_Le_A_Tan</t>
        </is>
      </c>
      <c r="C5" s="24" t="n">
        <v>0.2</v>
      </c>
      <c r="D5" s="2" t="inlineStr">
        <is>
          <t>A Tân nhận % lợi nhuận gộp</t>
        </is>
      </c>
    </row>
    <row r="6">
      <c r="B6" s="3" t="inlineStr">
        <is>
          <t>Tien_Hien_Co</t>
        </is>
      </c>
      <c r="C6" s="18" t="n">
        <v>71000000</v>
      </c>
      <c r="D6" s="2" t="inlineStr">
        <is>
          <t>Cập nhật tay — Dashboard đọc ô này</t>
        </is>
      </c>
    </row>
    <row r="7">
      <c r="B7" s="3" t="inlineStr">
        <is>
          <t>No_Goc_MOM</t>
        </is>
      </c>
      <c r="C7" s="18" t="n">
        <v>88000000</v>
      </c>
      <c r="D7" s="2" t="inlineStr">
        <is>
          <t>Nợ gốc MOM</t>
        </is>
      </c>
    </row>
    <row r="8">
      <c r="B8" s="3" t="inlineStr">
        <is>
          <t>Tra_Moi_Thang_MOM</t>
        </is>
      </c>
      <c r="C8" s="18" t="n">
        <v>2000000</v>
      </c>
      <c r="D8" s="2" t="inlineStr">
        <is>
          <t>Trả mỗi tháng MOM</t>
        </is>
      </c>
    </row>
    <row r="9">
      <c r="B9" s="3" t="inlineStr">
        <is>
          <t>No_Goc_Tri</t>
        </is>
      </c>
      <c r="C9" s="18" t="n">
        <v>175000000</v>
      </c>
      <c r="D9" s="2" t="inlineStr">
        <is>
          <t>Nợ gốc a Trí</t>
        </is>
      </c>
    </row>
    <row r="10">
      <c r="B10" s="3" t="inlineStr">
        <is>
          <t>Bluescope_Sheet_ID</t>
        </is>
      </c>
      <c r="C10" s="17" t="inlineStr">
        <is>
          <t>1ygn6O9Ej1-AmaeCVDOp6UD3pnbiyhG0c-ZUJ4MgNzdo</t>
        </is>
      </c>
      <c r="D10" s="2" t="inlineStr">
        <is>
          <t>ID file booking Bluescope (riêng)</t>
        </is>
      </c>
    </row>
    <row r="11">
      <c r="B11" s="3" t="inlineStr">
        <is>
          <t>Bluescope_URL</t>
        </is>
      </c>
      <c r="C11" s="17" t="inlineStr">
        <is>
          <t>https://docs.google.com/spreadsheets/d/1ygn6O9Ej1-AmaeCVDOp6UD3pnbiyhG0c-ZUJ4MgNzdo/edit</t>
        </is>
      </c>
      <c r="D11" s="2" t="inlineStr">
        <is>
          <t>Link mở Bluescope</t>
        </is>
      </c>
    </row>
    <row r="12">
      <c r="B12" s="3" t="inlineStr">
        <is>
          <t>Bluescope_Tab</t>
        </is>
      </c>
      <c r="C12" s="17" t="inlineStr">
        <is>
          <t>BLUESCOPE_2025</t>
        </is>
      </c>
      <c r="D12" s="2" t="inlineStr">
        <is>
          <t>Tên tab chính trong file Bluescope</t>
        </is>
      </c>
    </row>
    <row r="13">
      <c r="B13" s="3" t="inlineStr">
        <is>
          <t>Money_Sheet_ID</t>
        </is>
      </c>
      <c r="C13" s="17" t="inlineStr">
        <is>
          <t>12dpkDrLw1Cban2KNyNiHJ6vfqun_Las8Qa_ZI1cA3Js</t>
        </is>
      </c>
      <c r="D13" s="2" t="inlineStr">
        <is>
          <t>ID file MONEY 2026 chính</t>
        </is>
      </c>
    </row>
    <row r="15">
      <c r="B15" s="3" t="inlineStr">
        <is>
          <t>Công thức IMPORTRANGE mẫu (dán vào Google Sheets)</t>
        </is>
      </c>
    </row>
    <row r="16">
      <c r="B16" s="23">
        <f>IMPORTRANGE("https://docs.google.com/spreadsheets/d/1ygn6O9Ej1-AmaeCVDOp6UD3pnbiyhG0c-ZUJ4MgNzdo/edit";"BLUESCOPE_2025!L2")</f>
        <v/>
      </c>
    </row>
    <row r="17">
      <c r="B17" s="2" t="inlineStr">
        <is>
          <t>Lần đầu Google Sheets sẽ hiện Allow access — bấm Allow.</t>
        </is>
      </c>
    </row>
  </sheetData>
  <mergeCells count="2">
    <mergeCell ref="A1:D1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2026-08-06T02:46:41Z</dcterms:created>
  <dcterms:modified xsi:type="dcterms:W3CDTF">2026-08-06T02:46:41Z</dcterms:modified>
</cp:coreProperties>
</file>